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451627fc4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QC" sheetId="1" r:id="Rd1c9c84bd4524ea8"/>
    <x:sheet xmlns:r="http://schemas.openxmlformats.org/officeDocument/2006/relationships" name="Corrected_Wells" sheetId="2" r:id="Rbd16c6203bad47f9"/>
    <x:sheet xmlns:r="http://schemas.openxmlformats.org/officeDocument/2006/relationships" name="Replicate_QC" sheetId="3" r:id="R4cf7bdff16f640b9"/>
    <x:sheet xmlns:r="http://schemas.openxmlformats.org/officeDocument/2006/relationships" name="Relative_Expression" sheetId="4" r:id="R680a632a8b7742e5"/>
    <x:sheet xmlns:r="http://schemas.openxmlformats.org/officeDocument/2006/relationships" name="Assay_QC" sheetId="5" r:id="R5c3b295729dd431c"/>
    <x:sheet xmlns:r="http://schemas.openxmlformats.org/officeDocument/2006/relationships" name="Plate_Map_QC" sheetId="6" r:id="R7af05c8b463e4f05"/>
    <x:sheet xmlns:r="http://schemas.openxmlformats.org/officeDocument/2006/relationships" name="Source_Raw_Cp" sheetId="7" r:id="Raec4cd74c83b43c1"/>
    <x:sheet xmlns:r="http://schemas.openxmlformats.org/officeDocument/2006/relationships" name="Source_Raw_Tm" sheetId="8" r:id="Rfd270fef44074389"/>
    <x:sheet xmlns:r="http://schemas.openxmlformats.org/officeDocument/2006/relationships" name="Source_Raw_Melt" sheetId="9" r:id="R011a8de017fd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3047"/>
      <x:name val="Carlito"/>
    </x:font>
    <x:font>
      <x:b/>
      <x:sz val="11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14"/>
      <x:color rgb="FFFFFFFF"/>
      <x:name val="Carlito"/>
    </x:font>
    <x:font>
      <x:sz val="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23047"/>
      </x:patternFill>
    </x:fill>
    <x:fill>
      <x:patternFill patternType="solid">
        <x:fgColor rgb="FFDCE6F1"/>
      </x:patternFill>
    </x:fill>
    <x:fill>
      <x:patternFill patternType="solid">
        <x:fgColor rgb="FFFFF8E8"/>
      </x:patternFill>
    </x:fill>
    <x:fill>
      <x:patternFill patternType="solid">
        <x:fgColor rgb="FFEEF3F8"/>
      </x:patternFill>
    </x:fill>
    <x:fill>
      <x:patternFill patternType="solid">
        <x:fgColor rgb="FFE5F4EA"/>
      </x:patternFill>
    </x:fill>
    <x:fill>
      <x:patternFill patternType="solid">
        <x:fgColor rgb="FFFFF3CD"/>
      </x:patternFill>
    </x:fill>
    <x:fill>
      <x:patternFill patternType="solid">
        <x:fgColor rgb="FFFDE7E7"/>
      </x:patternFill>
    </x:fill>
    <x:fill>
      <x:patternFill patternType="solid">
        <x:fgColor rgb="FFF5F7FA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  <x:color rgb="FF7A4D00"/>
      </x:font>
      <x:fill>
        <x:patternFill patternType="solid">
          <x:bgColor rgb="FFFFF3CD"/>
        </x:patternFill>
      </x:fill>
    </x:dxf>
    <x:dxf>
      <x:fill>
        <x:patternFill patternType="solid">
          <x:bgColor rgb="FFFFF8E8"/>
        </x:patternFill>
      </x:fill>
    </x:dxf>
    <x:dxf>
      <x:font>
        <x:b/>
        <x:color rgb="FF176B3A"/>
      </x:font>
      <x:fill>
        <x:patternFill patternType="solid">
          <x:bgColor rgb="FFE5F4EA"/>
        </x:patternFill>
      </x:fill>
    </x:dxf>
    <x:dxf>
      <x:font>
        <x:b/>
        <x:color rgb="FF7A4D00"/>
      </x:font>
      <x:fill>
        <x:patternFill patternType="solid">
          <x:bgColor rgb="FFFFF3CD"/>
        </x:patternFill>
      </x:fill>
    </x:dxf>
    <x:dxf>
      <x:font>
        <x:b/>
        <x:color rgb="FF9B1C1C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98405a74b44fb" /><Relationship Type="http://schemas.openxmlformats.org/officeDocument/2006/relationships/theme" Target="/xl/theme/theme1.xml" Id="R642b0d572fb54dde" /><Relationship Type="http://schemas.openxmlformats.org/officeDocument/2006/relationships/sharedStrings" Target="/xl/sharedStrings.xml" Id="R3536895982514afe" /><Relationship Type="http://schemas.openxmlformats.org/officeDocument/2006/relationships/worksheet" Target="/xl/worksheets/sheet1.xml" Id="Rd1c9c84bd4524ea8" /><Relationship Type="http://schemas.openxmlformats.org/officeDocument/2006/relationships/worksheet" Target="/xl/worksheets/sheet2.xml" Id="Rbd16c6203bad47f9" /><Relationship Type="http://schemas.openxmlformats.org/officeDocument/2006/relationships/worksheet" Target="/xl/worksheets/sheet3.xml" Id="R4cf7bdff16f640b9" /><Relationship Type="http://schemas.openxmlformats.org/officeDocument/2006/relationships/worksheet" Target="/xl/worksheets/sheet4.xml" Id="R680a632a8b7742e5" /><Relationship Type="http://schemas.openxmlformats.org/officeDocument/2006/relationships/worksheet" Target="/xl/worksheets/sheet5.xml" Id="R5c3b295729dd431c" /><Relationship Type="http://schemas.openxmlformats.org/officeDocument/2006/relationships/worksheet" Target="/xl/worksheets/sheet6.xml" Id="R7af05c8b463e4f05" /><Relationship Type="http://schemas.openxmlformats.org/officeDocument/2006/relationships/worksheet" Target="/xl/worksheets/sheet7.xml" Id="Raec4cd74c83b43c1" /><Relationship Type="http://schemas.openxmlformats.org/officeDocument/2006/relationships/worksheet" Target="/xl/worksheets/sheet8.xml" Id="Rfd270fef44074389" /><Relationship Type="http://schemas.openxmlformats.org/officeDocument/2006/relationships/worksheet" Target="/xl/worksheets/sheet9.xml" Id="R011a8de017fd4980" /></Relationships>
</file>

<file path=xl/tables/table1.xml><?xml version="1.0" encoding="utf-8"?>
<x:table xmlns:x="http://schemas.openxmlformats.org/spreadsheetml/2006/main" id="1" name="CorrectedWellsTable" displayName="CorrectedWellsTable" ref="A1:Q241" headerRowCount="1" totalsRowCount="0" totalsRowShown="0">
  <x:tableColumns count="17">
    <x:tableColumn id="1" name="Well"/>
    <x:tableColumn id="2" name="Row"/>
    <x:tableColumn id="3" name="Column"/>
    <x:tableColumn id="4" name="Sample"/>
    <x:tableColumn id="5" name="Assay"/>
    <x:tableColumn id="6" name="Assay_type"/>
    <x:tableColumn id="7" name="Replicate"/>
    <x:tableColumn id="8" name="Cp"/>
    <x:tableColumn id="9" name="Tm1_C"/>
    <x:tableColumn id="10" name="Tm2_C"/>
    <x:tableColumn id="11" name="Melt_Group"/>
    <x:tableColumn id="12" name="Melt_Score"/>
    <x:tableColumn id="13" name="Melt_Resolution"/>
    <x:tableColumn id="14" name="Layout_changed"/>
    <x:tableColumn id="15" name="Original_sample"/>
    <x:tableColumn id="16" name="Manual_note"/>
    <x:tableColumn id="17" name="Group_ke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licateQcTable" displayName="ReplicateQcTable" ref="A1:P61" headerRowCount="1" totalsRowCount="0" totalsRowShown="0">
  <x:tableColumns count="16">
    <x:tableColumn id="1" name="Sample"/>
    <x:tableColumn id="2" name="Assay"/>
    <x:tableColumn id="3" name="Well_1"/>
    <x:tableColumn id="4" name="Well_2"/>
    <x:tableColumn id="5" name="Well_3"/>
    <x:tableColumn id="6" name="Well_4"/>
    <x:tableColumn id="7" name="Detected_Cp"/>
    <x:tableColumn id="8" name="Mean_Cp"/>
    <x:tableColumn id="9" name="Cp_SD"/>
    <x:tableColumn id="10" name="Cp_range"/>
    <x:tableColumn id="11" name="Mean_Tm_C"/>
    <x:tableColumn id="12" name="Tm_range_C"/>
    <x:tableColumn id="13" name="Melt_groups"/>
    <x:tableColumn id="14" name="Mean_melt_score"/>
    <x:tableColumn id="15" name="QC_status"/>
    <x:tableColumn id="16" name="Issu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veExpressionTable" displayName="RelativeExpressionTable" ref="A1:M41" headerRowCount="1" totalsRowCount="0" totalsRowShown="0">
  <x:tableColumns count="13">
    <x:tableColumn id="1" name="Sample"/>
    <x:tableColumn id="2" name="Assay"/>
    <x:tableColumn id="3" name="Mean_target_Cp"/>
    <x:tableColumn id="4" name="Mean_GAPDH_Cp"/>
    <x:tableColumn id="5" name="Mean_TBP_Cp"/>
    <x:tableColumn id="6" name="Mean_reference_Cp"/>
    <x:tableColumn id="7" name="Delta_Ct"/>
    <x:tableColumn id="8" name="DeltaDelta_Ct_vs_NC-FAM"/>
    <x:tableColumn id="9" name="Relative_expression_vs_NC-FAM"/>
    <x:tableColumn id="10" name="Apparent_knockdown_vs_NC-FAM"/>
    <x:tableColumn id="11" name="DeltaDelta_Ct_vs_Mock"/>
    <x:tableColumn id="12" name="Relative_expression_vs_Mock"/>
    <x:tableColumn id="13" name="Interpretation_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ayQcTable" displayName="AssayQcTable" ref="A1:J7" headerRowCount="1" totalsRowCount="0" totalsRowShown="0">
  <x:tableColumns count="10">
    <x:tableColumn id="1" name="Assay"/>
    <x:tableColumn id="2" name="Wells"/>
    <x:tableColumn id="3" name="Detected"/>
    <x:tableColumn id="4" name="Cp_mean"/>
    <x:tableColumn id="5" name="Cp_median"/>
    <x:tableColumn id="6" name="Tm_mean_C"/>
    <x:tableColumn id="7" name="Tm_median_C"/>
    <x:tableColumn id="8" name="Tm_min_C"/>
    <x:tableColumn id="9" name="Tm_max_C"/>
    <x:tableColumn id="10" name="Melt_group_cou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wCpTable" displayName="RawCpTable" ref="A1:H385" headerRowCount="1" totalsRowCount="0" totalsRowShown="0">
  <x:tableColumns count="8">
    <x:tableColumn id="1" name="Include"/>
    <x:tableColumn id="2" name="Color"/>
    <x:tableColumn id="3" name="Pos"/>
    <x:tableColumn id="4" name="Name"/>
    <x:tableColumn id="5" name="Cp"/>
    <x:tableColumn id="6" name="Concentration"/>
    <x:tableColumn id="7" name="Standard"/>
    <x:tableColumn id="8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wTmTable" displayName="RawTmTable" ref="A1:G385" headerRowCount="1" totalsRowCount="0" totalsRowShown="0">
  <x:tableColumns count="7">
    <x:tableColumn id="1" name="Include"/>
    <x:tableColumn id="2" name="Color"/>
    <x:tableColumn id="3" name="Pos"/>
    <x:tableColumn id="4" name="Name"/>
    <x:tableColumn id="5" name="Tm1"/>
    <x:tableColumn id="6" name="Tm2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awMeltTable" displayName="RawMeltTable" ref="A1:H385" headerRowCount="1" totalsRowCount="0" totalsRowShown="0">
  <x:tableColumns count="8">
    <x:tableColumn id="1" name="Include"/>
    <x:tableColumn id="2" name="Color"/>
    <x:tableColumn id="3" name="Pos"/>
    <x:tableColumn id="4" name="Name"/>
    <x:tableColumn id="5" name="Group"/>
    <x:tableColumn id="6" name="Score"/>
    <x:tableColumn id="7" name="Res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0c9dd0014a41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d48c1cba5c4c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9698fb9b0c49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77c225b24347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6c8292d87c648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1b3b516a05a4a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a9f3513af354e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 t="str">
        <x:v>2026-08-03 Roche LightCycler 480 qPCR · 修正板图结果整合</x:v>
      </x:c>
      <x:c r="B1" s="2"/>
      <x:c r="C1" s="2"/>
      <x:c r="D1" s="2"/>
      <x:c r="E1" s="2"/>
      <x:c r="F1" s="2"/>
      <x:c r="G1" s="2"/>
      <x:c r="H1" s="2"/>
    </x:row>
    <x:row r="3">
      <x:c r="A3" s="4" t="str">
        <x:v>指标</x:v>
      </x:c>
      <x:c r="B3" s="4" t="str">
        <x:v>结果</x:v>
      </x:c>
      <x:c r="D3" s="4" t="str">
        <x:v>关键判读边界</x:v>
      </x:c>
      <x:c r="E3" s="4"/>
      <x:c r="F3" s="4"/>
      <x:c r="G3" s="4"/>
      <x:c r="H3" s="4"/>
    </x:row>
    <x:row r="4" ht="34" customHeight="1">
      <x:c r="A4" t="str">
        <x:v>导出孔数</x:v>
      </x:c>
      <x:c r="B4" t="n">
        <x:v>384</x:v>
      </x:c>
      <x:c r="D4" s="6" t="str">
        <x:v>• 板图含人工修正；虽然 Plate_Map 与 Well_Detail 的样本标签已一致，Design_Summary 仍显示 Manual wells=0 / Validation=Valid，人工修订的来源元数据未同步。本分析以修正后的 Plate_Map 标签为样本归属真值。</x:v>
      </x:c>
      <x:c r="E4" s="6"/>
      <x:c r="F4" s="6"/>
      <x:c r="G4" s="6"/>
      <x:c r="H4" s="6"/>
    </x:row>
    <x:row r="5" ht="34" customHeight="1">
      <x:c r="A5" t="str">
        <x:v>有效反应孔</x:v>
      </x:c>
      <x:c r="B5" t="n">
        <x:v>240</x:v>
      </x:c>
      <x:c r="D5" s="6" t="str">
        <x:v>• 第10列备注仅说明‘可能加了两遍cDNA’，影响范围未在板图中明确；本分析将所有第10列有效反应标为人工复核。</x:v>
      </x:c>
      <x:c r="E5" s="6"/>
      <x:c r="F5" s="6"/>
      <x:c r="G5" s="6"/>
      <x:c r="H5" s="6"/>
    </x:row>
    <x:row r="6" ht="34" customHeight="1">
      <x:c r="A6" t="str">
        <x:v>有 Cp 的有效孔</x:v>
      </x:c>
      <x:c r="B6" t="n">
        <x:v>240</x:v>
      </x:c>
      <x:c r="D6" s="6" t="str">
        <x:v>• 第14列已按修正板图进行样本循环重映射。</x:v>
      </x:c>
      <x:c r="E6" s="6"/>
      <x:c r="F6" s="6"/>
      <x:c r="G6" s="6"/>
      <x:c r="H6" s="6"/>
    </x:row>
    <x:row r="7" ht="34" customHeight="1">
      <x:c r="A7" t="str">
        <x:v>板图重映射孔</x:v>
      </x:c>
      <x:c r="B7" t="n">
        <x:v>8</x:v>
      </x:c>
      <x:c r="D7" s="6" t="str">
        <x:v>• 本板未设置 NTC、no-RT 或阳性模板控制，不能排除污染或基因组DNA贡献。</x:v>
      </x:c>
      <x:c r="E7" s="6"/>
      <x:c r="F7" s="6"/>
      <x:c r="G7" s="6"/>
      <x:c r="H7" s="6"/>
    </x:row>
    <x:row r="8" ht="34" customHeight="1">
      <x:c r="A8" t="str">
        <x:v>复孔组</x:v>
      </x:c>
      <x:c r="B8" t="n">
        <x:v>60</x:v>
      </x:c>
      <x:c r="D8" s="6" t="str">
        <x:v>• 仅有技术复孔，不能替代独立生物学重复，也不进行推断统计。</x:v>
      </x:c>
      <x:c r="E8" s="6"/>
      <x:c r="F8" s="6"/>
      <x:c r="G8" s="6"/>
      <x:c r="H8" s="6"/>
    </x:row>
    <x:row r="9" ht="34" customHeight="1">
      <x:c r="A9" t="str">
        <x:v>PASS / REVIEW / FAIL</x:v>
      </x:c>
      <x:c r="B9" t="str">
        <x:v>34 / 17 / 9</x:v>
      </x:c>
      <x:c r="D9" s="6" t="str">
        <x:v>• 2^-ΔΔCt 为描述性估计，假设各扩增效率近似且相当；当前文件不含标准曲线/效率数据。</x:v>
      </x:c>
      <x:c r="E9" s="6"/>
      <x:c r="F9" s="6"/>
      <x:c r="G9" s="6"/>
      <x:c r="H9" s="6"/>
    </x:row>
    <x:row r="10" ht="34" customHeight="1">
      <x:c r="A10" t="str">
        <x:v>主要控制</x:v>
      </x:c>
      <x:c r="B10" t="str">
        <x:v>NC-FAM；另保留 Mock 对照</x:v>
      </x:c>
      <x:c r="D10" s="6" t="str">
        <x:v>• meltingcurve.txt 是罗氏熔解聚类摘要（Group/Score/Res），不是连续温度-荧光原始曲线。</x:v>
      </x:c>
      <x:c r="E10" s="6"/>
      <x:c r="F10" s="6"/>
      <x:c r="G10" s="6"/>
      <x:c r="H10" s="6"/>
    </x:row>
    <x:row r="12">
      <x:c r="A12" s="4" t="str">
        <x:v>筛查参数（可修改）</x:v>
      </x:c>
      <x:c r="B12" s="4" t="str">
        <x:v>当前值</x:v>
      </x:c>
    </x:row>
    <x:row r="13">
      <x:c r="A13" t="str">
        <x:v>Cp SD PASS 上限</x:v>
      </x:c>
      <x:c r="B13" t="n">
        <x:v>0.3</x:v>
      </x:c>
    </x:row>
    <x:row r="14">
      <x:c r="A14" t="str">
        <x:v>Cp SD FAIL 阈值</x:v>
      </x:c>
      <x:c r="B14" t="n">
        <x:v>0.5</x:v>
      </x:c>
    </x:row>
    <x:row r="15">
      <x:c r="A15" t="str">
        <x:v>Tm 复孔范围上限 (°C)</x:v>
      </x:c>
      <x:c r="B15" t="n">
        <x:v>0.5</x:v>
      </x:c>
    </x:row>
    <x:row r="16">
      <x:c r="A16" t="str">
        <x:v>预期技术复孔数</x:v>
      </x:c>
      <x:c r="B16" t="n">
        <x:v>4</x:v>
      </x:c>
    </x:row>
    <x:row r="18">
      <x:c r="A18" s="4" t="str">
        <x:v>人工板图修正记录</x:v>
      </x:c>
      <x:c r="B18" s="4"/>
      <x:c r="C18" s="4"/>
      <x:c r="D18" s="4"/>
      <x:c r="E18" s="4"/>
      <x:c r="F18" s="4"/>
      <x:c r="G18" s="4"/>
      <x:c r="H18" s="4"/>
    </x:row>
    <x:row r="19">
      <x:c r="A19" s="8" t="str">
        <x:v>Well</x:v>
      </x:c>
      <x:c r="B19" s="8" t="str">
        <x:v>旧样本</x:v>
      </x:c>
      <x:c r="C19" s="8" t="str">
        <x:v>新样本</x:v>
      </x:c>
      <x:c r="D19" s="8" t="str">
        <x:v>旧Assay</x:v>
      </x:c>
      <x:c r="E19" s="8" t="str">
        <x:v>新Assay</x:v>
      </x:c>
      <x:c r="F19" s="8" t="str">
        <x:v>说明</x:v>
      </x:c>
    </x:row>
    <x:row r="20">
      <x:c r="A20" t="str">
        <x:v>A14</x:v>
      </x:c>
      <x:c r="B20" t="str">
        <x:v>Mock</x:v>
      </x:c>
      <x:c r="C20" t="str">
        <x:v>NC-FAM</x:v>
      </x:c>
      <x:c r="D20" t="str">
        <x:v>FBN2-2</x:v>
      </x:c>
      <x:c r="E20" t="str">
        <x:v>FBN2-2</x:v>
      </x:c>
      <x:c r="F20" t="str">
        <x:v>第14列循环错位，按修正 Plate_Map 重映射</x:v>
      </x:c>
    </x:row>
    <x:row r="21">
      <x:c r="A21" t="str">
        <x:v>C14</x:v>
      </x:c>
      <x:c r="B21" t="str">
        <x:v>NC-FAM</x:v>
      </x:c>
      <x:c r="C21" t="str">
        <x:v>siFBN2-1</x:v>
      </x:c>
      <x:c r="D21" t="str">
        <x:v>FBN2-2</x:v>
      </x:c>
      <x:c r="E21" t="str">
        <x:v>FBN2-2</x:v>
      </x:c>
      <x:c r="F21" t="str">
        <x:v>第14列循环错位，按修正 Plate_Map 重映射</x:v>
      </x:c>
    </x:row>
    <x:row r="22">
      <x:c r="A22" t="str">
        <x:v>E14</x:v>
      </x:c>
      <x:c r="B22" t="str">
        <x:v>siFBN2-1</x:v>
      </x:c>
      <x:c r="C22" t="str">
        <x:v>siFBN2-2</x:v>
      </x:c>
      <x:c r="D22" t="str">
        <x:v>FBN2-2</x:v>
      </x:c>
      <x:c r="E22" t="str">
        <x:v>FBN2-2</x:v>
      </x:c>
      <x:c r="F22" t="str">
        <x:v>第14列循环错位，按修正 Plate_Map 重映射</x:v>
      </x:c>
    </x:row>
    <x:row r="23">
      <x:c r="A23" t="str">
        <x:v>G14</x:v>
      </x:c>
      <x:c r="B23" t="str">
        <x:v>siFBN2-2</x:v>
      </x:c>
      <x:c r="C23" t="str">
        <x:v>siFBN2-3</x:v>
      </x:c>
      <x:c r="D23" t="str">
        <x:v>FBN2-2</x:v>
      </x:c>
      <x:c r="E23" t="str">
        <x:v>FBN2-2</x:v>
      </x:c>
      <x:c r="F23" t="str">
        <x:v>第14列循环错位，按修正 Plate_Map 重映射</x:v>
      </x:c>
    </x:row>
    <x:row r="24">
      <x:c r="A24" t="str">
        <x:v>I14</x:v>
      </x:c>
      <x:c r="B24" t="str">
        <x:v>siFBN2-3</x:v>
      </x:c>
      <x:c r="C24" t="str">
        <x:v>siFBN2-4</x:v>
      </x:c>
      <x:c r="D24" t="str">
        <x:v>FBN2-2</x:v>
      </x:c>
      <x:c r="E24" t="str">
        <x:v>FBN2-2</x:v>
      </x:c>
      <x:c r="F24" t="str">
        <x:v>第14列循环错位，按修正 Plate_Map 重映射</x:v>
      </x:c>
    </x:row>
    <x:row r="25">
      <x:c r="A25" t="str">
        <x:v>K14</x:v>
      </x:c>
      <x:c r="B25" t="str">
        <x:v>siFBN2-4</x:v>
      </x:c>
      <x:c r="C25" t="str">
        <x:v>siZNF436-1</x:v>
      </x:c>
      <x:c r="D25" t="str">
        <x:v>FBN2-2</x:v>
      </x:c>
      <x:c r="E25" t="str">
        <x:v>FBN2-2</x:v>
      </x:c>
      <x:c r="F25" t="str">
        <x:v>第14列循环错位，按修正 Plate_Map 重映射</x:v>
      </x:c>
    </x:row>
    <x:row r="26">
      <x:c r="A26" t="str">
        <x:v>M14</x:v>
      </x:c>
      <x:c r="B26" t="str">
        <x:v>siZNF436-1</x:v>
      </x:c>
      <x:c r="C26" t="str">
        <x:v>siZNF436-2</x:v>
      </x:c>
      <x:c r="D26" t="str">
        <x:v>FBN2-2</x:v>
      </x:c>
      <x:c r="E26" t="str">
        <x:v>FBN2-2</x:v>
      </x:c>
      <x:c r="F26" t="str">
        <x:v>第14列循环错位，按修正 Plate_Map 重映射</x:v>
      </x:c>
    </x:row>
    <x:row r="27">
      <x:c r="A27" t="str">
        <x:v>O14</x:v>
      </x:c>
      <x:c r="B27" t="str">
        <x:v>siZNF436-2</x:v>
      </x:c>
      <x:c r="C27" t="str">
        <x:v>Mock</x:v>
      </x:c>
      <x:c r="D27" t="str">
        <x:v>FBN2-2</x:v>
      </x:c>
      <x:c r="E27" t="str">
        <x:v>FBN2-2</x:v>
      </x:c>
      <x:c r="F27" t="str">
        <x:v>第14列循环错位，按修正 Plate_Map 重映射</x:v>
      </x:c>
    </x:row>
  </x:sheetData>
  <x:mergeCells>
    <x:mergeCell ref="D4:H4"/>
    <x:mergeCell ref="D5:H5"/>
    <x:mergeCell ref="D6:H6"/>
    <x:mergeCell ref="D7:H7"/>
    <x:mergeCell ref="D8:H8"/>
    <x:mergeCell ref="D9:H9"/>
    <x:mergeCell ref="D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42" hidden="0" customWidth="1"/>
    <x:col min="17" max="17" width="14" hidden="0" customWidth="1"/>
  </x:cols>
  <x:sheetData>
    <x:row r="1">
      <x:c r="A1" s="11" t="str">
        <x:v>Well</x:v>
      </x:c>
      <x:c r="B1" s="11" t="str">
        <x:v>Row</x:v>
      </x:c>
      <x:c r="C1" s="11" t="str">
        <x:v>Column</x:v>
      </x:c>
      <x:c r="D1" s="11" t="str">
        <x:v>Sample</x:v>
      </x:c>
      <x:c r="E1" s="11" t="str">
        <x:v>Assay</x:v>
      </x:c>
      <x:c r="F1" s="11" t="str">
        <x:v>Assay_type</x:v>
      </x:c>
      <x:c r="G1" s="11" t="str">
        <x:v>Replicate</x:v>
      </x:c>
      <x:c r="H1" s="11" t="str">
        <x:v>Cp</x:v>
      </x:c>
      <x:c r="I1" s="11" t="str">
        <x:v>Tm1_C</x:v>
      </x:c>
      <x:c r="J1" s="11" t="str">
        <x:v>Tm2_C</x:v>
      </x:c>
      <x:c r="K1" s="11" t="str">
        <x:v>Melt_Group</x:v>
      </x:c>
      <x:c r="L1" s="11" t="str">
        <x:v>Melt_Score</x:v>
      </x:c>
      <x:c r="M1" s="11" t="str">
        <x:v>Melt_Resolution</x:v>
      </x:c>
      <x:c r="N1" s="11" t="str">
        <x:v>Layout_changed</x:v>
      </x:c>
      <x:c r="O1" s="11" t="str">
        <x:v>Original_sample</x:v>
      </x:c>
      <x:c r="P1" s="11" t="str">
        <x:v>Manual_note</x:v>
      </x:c>
      <x:c r="Q1" s="11" t="str">
        <x:v>Group_key</x:v>
      </x:c>
    </x:row>
    <x:row r="2">
      <x:c r="A2" s="12" t="str">
        <x:v>A1</x:v>
      </x:c>
      <x:c r="B2" s="12" t="str">
        <x:v>A</x:v>
      </x:c>
      <x:c r="C2" s="12" t="n">
        <x:v>1</x:v>
      </x:c>
      <x:c r="D2" s="12" t="str">
        <x:v>Mock</x:v>
      </x:c>
      <x:c r="E2" s="12" t="str">
        <x:v>GAPDH</x:v>
      </x:c>
      <x:c r="F2" s="12" t="str">
        <x:v>Reference</x:v>
      </x:c>
      <x:c r="G2" s="12" t="n">
        <x:v>1</x:v>
      </x:c>
      <x:c r="H2" s="13" t="n">
        <x:v>16.46</x:v>
      </x:c>
      <x:c r="I2" s="13" t="n">
        <x:v>85.94</x:v>
      </x:c>
      <x:c r="J2" s="13"/>
      <x:c r="K2" s="13" t="str">
        <x:v>1</x:v>
      </x:c>
      <x:c r="L2" s="13" t="n">
        <x:v>0.89</x:v>
      </x:c>
      <x:c r="M2" s="13" t="n">
        <x:v>0.49</x:v>
      </x:c>
      <x:c r="N2" s="12" t="str">
        <x:v>NO</x:v>
      </x:c>
      <x:c r="O2" s="12" t="str">
        <x:v>Mock</x:v>
      </x:c>
      <x:c r="P2" s="14" t="str"/>
      <x:c r="Q2" s="12" t="str">
        <x:v>Mock|||GAPDH</x:v>
      </x:c>
    </x:row>
    <x:row r="3">
      <x:c r="A3" s="12" t="str">
        <x:v>A2</x:v>
      </x:c>
      <x:c r="B3" s="12" t="str">
        <x:v>A</x:v>
      </x:c>
      <x:c r="C3" s="12" t="n">
        <x:v>2</x:v>
      </x:c>
      <x:c r="D3" s="12" t="str">
        <x:v>Mock</x:v>
      </x:c>
      <x:c r="E3" s="12" t="str">
        <x:v>GAPDH</x:v>
      </x:c>
      <x:c r="F3" s="12" t="str">
        <x:v>Reference</x:v>
      </x:c>
      <x:c r="G3" s="12" t="n">
        <x:v>2</x:v>
      </x:c>
      <x:c r="H3" s="13" t="n">
        <x:v>16.51</x:v>
      </x:c>
      <x:c r="I3" s="13" t="n">
        <x:v>85.99</x:v>
      </x:c>
      <x:c r="J3" s="13"/>
      <x:c r="K3" s="13" t="str">
        <x:v>1</x:v>
      </x:c>
      <x:c r="L3" s="13" t="n">
        <x:v>0.88</x:v>
      </x:c>
      <x:c r="M3" s="13" t="n">
        <x:v>0.49</x:v>
      </x:c>
      <x:c r="N3" s="12" t="str">
        <x:v>NO</x:v>
      </x:c>
      <x:c r="O3" s="12" t="str">
        <x:v>Mock</x:v>
      </x:c>
      <x:c r="P3" s="14" t="str"/>
      <x:c r="Q3" s="12" t="str">
        <x:v>Mock|||GAPDH</x:v>
      </x:c>
    </x:row>
    <x:row r="4">
      <x:c r="A4" s="12" t="str">
        <x:v>A3</x:v>
      </x:c>
      <x:c r="B4" s="12" t="str">
        <x:v>A</x:v>
      </x:c>
      <x:c r="C4" s="12" t="n">
        <x:v>3</x:v>
      </x:c>
      <x:c r="D4" s="12" t="str">
        <x:v>Mock</x:v>
      </x:c>
      <x:c r="E4" s="12" t="str">
        <x:v>GAPDH</x:v>
      </x:c>
      <x:c r="F4" s="12" t="str">
        <x:v>Reference</x:v>
      </x:c>
      <x:c r="G4" s="12" t="n">
        <x:v>3</x:v>
      </x:c>
      <x:c r="H4" s="13" t="n">
        <x:v>16.5</x:v>
      </x:c>
      <x:c r="I4" s="13" t="n">
        <x:v>85.99</x:v>
      </x:c>
      <x:c r="J4" s="13"/>
      <x:c r="K4" s="13" t="str">
        <x:v>1</x:v>
      </x:c>
      <x:c r="L4" s="13" t="n">
        <x:v>0.87</x:v>
      </x:c>
      <x:c r="M4" s="13" t="n">
        <x:v>0.49</x:v>
      </x:c>
      <x:c r="N4" s="12" t="str">
        <x:v>NO</x:v>
      </x:c>
      <x:c r="O4" s="12" t="str">
        <x:v>Mock</x:v>
      </x:c>
      <x:c r="P4" s="14" t="str"/>
      <x:c r="Q4" s="12" t="str">
        <x:v>Mock|||GAPDH</x:v>
      </x:c>
    </x:row>
    <x:row r="5">
      <x:c r="A5" s="12" t="str">
        <x:v>A4</x:v>
      </x:c>
      <x:c r="B5" s="12" t="str">
        <x:v>A</x:v>
      </x:c>
      <x:c r="C5" s="12" t="n">
        <x:v>4</x:v>
      </x:c>
      <x:c r="D5" s="12" t="str">
        <x:v>Mock</x:v>
      </x:c>
      <x:c r="E5" s="12" t="str">
        <x:v>GAPDH</x:v>
      </x:c>
      <x:c r="F5" s="12" t="str">
        <x:v>Reference</x:v>
      </x:c>
      <x:c r="G5" s="12" t="n">
        <x:v>4</x:v>
      </x:c>
      <x:c r="H5" s="13" t="n">
        <x:v>16.45</x:v>
      </x:c>
      <x:c r="I5" s="13" t="n">
        <x:v>86.02</x:v>
      </x:c>
      <x:c r="J5" s="13"/>
      <x:c r="K5" s="13" t="str">
        <x:v>1</x:v>
      </x:c>
      <x:c r="L5" s="13" t="n">
        <x:v>0.88</x:v>
      </x:c>
      <x:c r="M5" s="13" t="n">
        <x:v>0.49</x:v>
      </x:c>
      <x:c r="N5" s="12" t="str">
        <x:v>NO</x:v>
      </x:c>
      <x:c r="O5" s="12" t="str">
        <x:v>Mock</x:v>
      </x:c>
      <x:c r="P5" s="14" t="str"/>
      <x:c r="Q5" s="12" t="str">
        <x:v>Mock|||GAPDH</x:v>
      </x:c>
    </x:row>
    <x:row r="6">
      <x:c r="A6" s="12" t="str">
        <x:v>A5</x:v>
      </x:c>
      <x:c r="B6" s="12" t="str">
        <x:v>A</x:v>
      </x:c>
      <x:c r="C6" s="12" t="n">
        <x:v>5</x:v>
      </x:c>
      <x:c r="D6" s="12" t="str">
        <x:v>Mock</x:v>
      </x:c>
      <x:c r="E6" s="12" t="str">
        <x:v>TBP</x:v>
      </x:c>
      <x:c r="F6" s="12" t="str">
        <x:v>Reference</x:v>
      </x:c>
      <x:c r="G6" s="12" t="n">
        <x:v>1</x:v>
      </x:c>
      <x:c r="H6" s="13" t="n">
        <x:v>25.2</x:v>
      </x:c>
      <x:c r="I6" s="13" t="n">
        <x:v>80.26</x:v>
      </x:c>
      <x:c r="J6" s="13"/>
      <x:c r="K6" s="13" t="str">
        <x:v>1</x:v>
      </x:c>
      <x:c r="L6" s="13" t="n">
        <x:v>0.99</x:v>
      </x:c>
      <x:c r="M6" s="13" t="n">
        <x:v>0.2</x:v>
      </x:c>
      <x:c r="N6" s="12" t="str">
        <x:v>NO</x:v>
      </x:c>
      <x:c r="O6" s="12" t="str">
        <x:v>Mock</x:v>
      </x:c>
      <x:c r="P6" s="14" t="str"/>
      <x:c r="Q6" s="12" t="str">
        <x:v>Mock|||TBP</x:v>
      </x:c>
    </x:row>
    <x:row r="7">
      <x:c r="A7" s="12" t="str">
        <x:v>A6</x:v>
      </x:c>
      <x:c r="B7" s="12" t="str">
        <x:v>A</x:v>
      </x:c>
      <x:c r="C7" s="12" t="n">
        <x:v>6</x:v>
      </x:c>
      <x:c r="D7" s="12" t="str">
        <x:v>Mock</x:v>
      </x:c>
      <x:c r="E7" s="12" t="str">
        <x:v>TBP</x:v>
      </x:c>
      <x:c r="F7" s="12" t="str">
        <x:v>Reference</x:v>
      </x:c>
      <x:c r="G7" s="12" t="n">
        <x:v>2</x:v>
      </x:c>
      <x:c r="H7" s="13" t="n">
        <x:v>25.36</x:v>
      </x:c>
      <x:c r="I7" s="13" t="n">
        <x:v>80.27</x:v>
      </x:c>
      <x:c r="J7" s="13"/>
      <x:c r="K7" s="13" t="str">
        <x:v>1</x:v>
      </x:c>
      <x:c r="L7" s="13" t="n">
        <x:v>0.98</x:v>
      </x:c>
      <x:c r="M7" s="13" t="n">
        <x:v>0.18</x:v>
      </x:c>
      <x:c r="N7" s="12" t="str">
        <x:v>NO</x:v>
      </x:c>
      <x:c r="O7" s="12" t="str">
        <x:v>Mock</x:v>
      </x:c>
      <x:c r="P7" s="14" t="str"/>
      <x:c r="Q7" s="12" t="str">
        <x:v>Mock|||TBP</x:v>
      </x:c>
    </x:row>
    <x:row r="8">
      <x:c r="A8" s="12" t="str">
        <x:v>A7</x:v>
      </x:c>
      <x:c r="B8" s="12" t="str">
        <x:v>A</x:v>
      </x:c>
      <x:c r="C8" s="12" t="n">
        <x:v>7</x:v>
      </x:c>
      <x:c r="D8" s="12" t="str">
        <x:v>Mock</x:v>
      </x:c>
      <x:c r="E8" s="12" t="str">
        <x:v>TBP</x:v>
      </x:c>
      <x:c r="F8" s="12" t="str">
        <x:v>Reference</x:v>
      </x:c>
      <x:c r="G8" s="12" t="n">
        <x:v>3</x:v>
      </x:c>
      <x:c r="H8" s="13" t="n">
        <x:v>25.31</x:v>
      </x:c>
      <x:c r="I8" s="13" t="n">
        <x:v>80.25</x:v>
      </x:c>
      <x:c r="J8" s="13"/>
      <x:c r="K8" s="13" t="str">
        <x:v>1</x:v>
      </x:c>
      <x:c r="L8" s="13" t="n">
        <x:v>0.97</x:v>
      </x:c>
      <x:c r="M8" s="13" t="n">
        <x:v>0.15</x:v>
      </x:c>
      <x:c r="N8" s="12" t="str">
        <x:v>NO</x:v>
      </x:c>
      <x:c r="O8" s="12" t="str">
        <x:v>Mock</x:v>
      </x:c>
      <x:c r="P8" s="14" t="str"/>
      <x:c r="Q8" s="12" t="str">
        <x:v>Mock|||TBP</x:v>
      </x:c>
    </x:row>
    <x:row r="9">
      <x:c r="A9" s="12" t="str">
        <x:v>A8</x:v>
      </x:c>
      <x:c r="B9" s="12" t="str">
        <x:v>A</x:v>
      </x:c>
      <x:c r="C9" s="12" t="n">
        <x:v>8</x:v>
      </x:c>
      <x:c r="D9" s="12" t="str">
        <x:v>Mock</x:v>
      </x:c>
      <x:c r="E9" s="12" t="str">
        <x:v>TBP</x:v>
      </x:c>
      <x:c r="F9" s="12" t="str">
        <x:v>Reference</x:v>
      </x:c>
      <x:c r="G9" s="12" t="n">
        <x:v>4</x:v>
      </x:c>
      <x:c r="H9" s="13" t="n">
        <x:v>25.45</x:v>
      </x:c>
      <x:c r="I9" s="13" t="n">
        <x:v>80.24</x:v>
      </x:c>
      <x:c r="J9" s="13"/>
      <x:c r="K9" s="13" t="str">
        <x:v>1</x:v>
      </x:c>
      <x:c r="L9" s="13" t="n">
        <x:v>0.98</x:v>
      </x:c>
      <x:c r="M9" s="13" t="n">
        <x:v>0.18</x:v>
      </x:c>
      <x:c r="N9" s="12" t="str">
        <x:v>NO</x:v>
      </x:c>
      <x:c r="O9" s="12" t="str">
        <x:v>Mock</x:v>
      </x:c>
      <x:c r="P9" s="14" t="str"/>
      <x:c r="Q9" s="12" t="str">
        <x:v>Mock|||TBP</x:v>
      </x:c>
    </x:row>
    <x:row r="10">
      <x:c r="A10" s="12" t="str">
        <x:v>A9</x:v>
      </x:c>
      <x:c r="B10" s="12" t="str">
        <x:v>A</x:v>
      </x:c>
      <x:c r="C10" s="12" t="n">
        <x:v>9</x:v>
      </x:c>
      <x:c r="D10" s="12" t="str">
        <x:v>Mock</x:v>
      </x:c>
      <x:c r="E10" s="12" t="str">
        <x:v>FBN2-1</x:v>
      </x:c>
      <x:c r="F10" s="12" t="str">
        <x:v>Target</x:v>
      </x:c>
      <x:c r="G10" s="12" t="n">
        <x:v>1</x:v>
      </x:c>
      <x:c r="H10" s="13" t="n">
        <x:v>23.92</x:v>
      </x:c>
      <x:c r="I10" s="13" t="n">
        <x:v>79.25</x:v>
      </x:c>
      <x:c r="J10" s="13"/>
      <x:c r="K10" s="13" t="str">
        <x:v>2</x:v>
      </x:c>
      <x:c r="L10" s="13" t="n">
        <x:v>0.96</x:v>
      </x:c>
      <x:c r="M10" s="13" t="n">
        <x:v>0.47</x:v>
      </x:c>
      <x:c r="N10" s="12" t="str">
        <x:v>NO</x:v>
      </x:c>
      <x:c r="O10" s="12" t="str">
        <x:v>Mock</x:v>
      </x:c>
      <x:c r="P10" s="14" t="str"/>
      <x:c r="Q10" s="12" t="str">
        <x:v>Mock|||FBN2-1</x:v>
      </x:c>
    </x:row>
    <x:row r="11">
      <x:c r="A11" s="12" t="str">
        <x:v>A10</x:v>
      </x:c>
      <x:c r="B11" s="12" t="str">
        <x:v>A</x:v>
      </x:c>
      <x:c r="C11" s="12" t="n">
        <x:v>10</x:v>
      </x:c>
      <x:c r="D11" s="12" t="str">
        <x:v>Mock</x:v>
      </x:c>
      <x:c r="E11" s="12" t="str">
        <x:v>FBN2-1</x:v>
      </x:c>
      <x:c r="F11" s="12" t="str">
        <x:v>Target</x:v>
      </x:c>
      <x:c r="G11" s="12" t="n">
        <x:v>2</x:v>
      </x:c>
      <x:c r="H11" s="13" t="n">
        <x:v>24.01</x:v>
      </x:c>
      <x:c r="I11" s="13" t="n">
        <x:v>79.35</x:v>
      </x:c>
      <x:c r="J11" s="13"/>
      <x:c r="K11" s="13" t="str">
        <x:v>2</x:v>
      </x:c>
      <x:c r="L11" s="13" t="n">
        <x:v>0.96</x:v>
      </x:c>
      <x:c r="M11" s="13" t="n">
        <x:v>0.44</x:v>
      </x:c>
      <x:c r="N11" s="12" t="str">
        <x:v>NO</x:v>
      </x:c>
      <x:c r="O11" s="12" t="str">
        <x:v>Mock</x:v>
      </x:c>
      <x:c r="P11" s="14" t="str">
        <x:v>列10：修正板图备注‘可能加了两遍cDNA’，范围需实验记录确认</x:v>
      </x:c>
      <x:c r="Q11" s="12" t="str">
        <x:v>Mock|||FBN2-1</x:v>
      </x:c>
    </x:row>
    <x:row r="12">
      <x:c r="A12" s="12" t="str">
        <x:v>A11</x:v>
      </x:c>
      <x:c r="B12" s="12" t="str">
        <x:v>A</x:v>
      </x:c>
      <x:c r="C12" s="12" t="n">
        <x:v>11</x:v>
      </x:c>
      <x:c r="D12" s="12" t="str">
        <x:v>Mock</x:v>
      </x:c>
      <x:c r="E12" s="12" t="str">
        <x:v>FBN2-1</x:v>
      </x:c>
      <x:c r="F12" s="12" t="str">
        <x:v>Target</x:v>
      </x:c>
      <x:c r="G12" s="12" t="n">
        <x:v>3</x:v>
      </x:c>
      <x:c r="H12" s="13" t="n">
        <x:v>23.86</x:v>
      </x:c>
      <x:c r="I12" s="13" t="n">
        <x:v>79.34</x:v>
      </x:c>
      <x:c r="J12" s="13"/>
      <x:c r="K12" s="13" t="str">
        <x:v>2</x:v>
      </x:c>
      <x:c r="L12" s="13" t="n">
        <x:v>0.94</x:v>
      </x:c>
      <x:c r="M12" s="13" t="n">
        <x:v>0.45</x:v>
      </x:c>
      <x:c r="N12" s="12" t="str">
        <x:v>NO</x:v>
      </x:c>
      <x:c r="O12" s="12" t="str">
        <x:v>Mock</x:v>
      </x:c>
      <x:c r="P12" s="14" t="str"/>
      <x:c r="Q12" s="12" t="str">
        <x:v>Mock|||FBN2-1</x:v>
      </x:c>
    </x:row>
    <x:row r="13">
      <x:c r="A13" s="12" t="str">
        <x:v>A12</x:v>
      </x:c>
      <x:c r="B13" s="12" t="str">
        <x:v>A</x:v>
      </x:c>
      <x:c r="C13" s="12" t="n">
        <x:v>12</x:v>
      </x:c>
      <x:c r="D13" s="12" t="str">
        <x:v>Mock</x:v>
      </x:c>
      <x:c r="E13" s="12" t="str">
        <x:v>FBN2-1</x:v>
      </x:c>
      <x:c r="F13" s="12" t="str">
        <x:v>Target</x:v>
      </x:c>
      <x:c r="G13" s="12" t="n">
        <x:v>4</x:v>
      </x:c>
      <x:c r="H13" s="13" t="n">
        <x:v>23.9</x:v>
      </x:c>
      <x:c r="I13" s="13" t="n">
        <x:v>79.34</x:v>
      </x:c>
      <x:c r="J13" s="13"/>
      <x:c r="K13" s="13" t="str">
        <x:v>2</x:v>
      </x:c>
      <x:c r="L13" s="13" t="n">
        <x:v>0.97</x:v>
      </x:c>
      <x:c r="M13" s="13" t="n">
        <x:v>0.44</x:v>
      </x:c>
      <x:c r="N13" s="12" t="str">
        <x:v>NO</x:v>
      </x:c>
      <x:c r="O13" s="12" t="str">
        <x:v>Mock</x:v>
      </x:c>
      <x:c r="P13" s="14" t="str"/>
      <x:c r="Q13" s="12" t="str">
        <x:v>Mock|||FBN2-1</x:v>
      </x:c>
    </x:row>
    <x:row r="14">
      <x:c r="A14" s="12" t="str">
        <x:v>A13</x:v>
      </x:c>
      <x:c r="B14" s="12" t="str">
        <x:v>A</x:v>
      </x:c>
      <x:c r="C14" s="12" t="n">
        <x:v>13</x:v>
      </x:c>
      <x:c r="D14" s="12" t="str">
        <x:v>Mock</x:v>
      </x:c>
      <x:c r="E14" s="12" t="str">
        <x:v>FBN2-2</x:v>
      </x:c>
      <x:c r="F14" s="12" t="str">
        <x:v>Target</x:v>
      </x:c>
      <x:c r="G14" s="12" t="n">
        <x:v>1</x:v>
      </x:c>
      <x:c r="H14" s="13" t="n">
        <x:v>24.02</x:v>
      </x:c>
      <x:c r="I14" s="13" t="n">
        <x:v>83.59</x:v>
      </x:c>
      <x:c r="J14" s="13"/>
      <x:c r="K14" s="13" t="str">
        <x:v>1</x:v>
      </x:c>
      <x:c r="L14" s="13" t="n">
        <x:v>0.99</x:v>
      </x:c>
      <x:c r="M14" s="13" t="n">
        <x:v>0.4</x:v>
      </x:c>
      <x:c r="N14" s="12" t="str">
        <x:v>NO</x:v>
      </x:c>
      <x:c r="O14" s="12" t="str">
        <x:v>Mock</x:v>
      </x:c>
      <x:c r="P14" s="14" t="str"/>
      <x:c r="Q14" s="12" t="str">
        <x:v>Mock|||FBN2-2</x:v>
      </x:c>
    </x:row>
    <x:row r="15">
      <x:c r="A15" s="12" t="str">
        <x:v>A14</x:v>
      </x:c>
      <x:c r="B15" s="12" t="str">
        <x:v>A</x:v>
      </x:c>
      <x:c r="C15" s="12" t="n">
        <x:v>14</x:v>
      </x:c>
      <x:c r="D15" s="12" t="str">
        <x:v>NC-FAM</x:v>
      </x:c>
      <x:c r="E15" s="12" t="str">
        <x:v>FBN2-2</x:v>
      </x:c>
      <x:c r="F15" s="12" t="str">
        <x:v>Target</x:v>
      </x:c>
      <x:c r="G15" s="12" t="n">
        <x:v>2</x:v>
      </x:c>
      <x:c r="H15" s="13" t="n">
        <x:v>23.66</x:v>
      </x:c>
      <x:c r="I15" s="13" t="n">
        <x:v>83.75</x:v>
      </x:c>
      <x:c r="J15" s="13"/>
      <x:c r="K15" s="13" t="str">
        <x:v>1</x:v>
      </x:c>
      <x:c r="L15" s="13" t="n">
        <x:v>0.98</x:v>
      </x:c>
      <x:c r="M15" s="13" t="n">
        <x:v>0.49</x:v>
      </x:c>
      <x:c r="N15" s="12" t="str">
        <x:v>YES</x:v>
      </x:c>
      <x:c r="O15" s="12" t="str">
        <x:v>Mock</x:v>
      </x:c>
      <x:c r="P15" s="14" t="str">
        <x:v>列14：cDNA样本整体向上错位一位，已按修正板图重映射</x:v>
      </x:c>
      <x:c r="Q15" s="12" t="str">
        <x:v>NC-FAM|||FBN2-2</x:v>
      </x:c>
    </x:row>
    <x:row r="16">
      <x:c r="A16" s="12" t="str">
        <x:v>A15</x:v>
      </x:c>
      <x:c r="B16" s="12" t="str">
        <x:v>A</x:v>
      </x:c>
      <x:c r="C16" s="12" t="n">
        <x:v>15</x:v>
      </x:c>
      <x:c r="D16" s="12" t="str">
        <x:v>Mock</x:v>
      </x:c>
      <x:c r="E16" s="12" t="str">
        <x:v>FBN2-2</x:v>
      </x:c>
      <x:c r="F16" s="12" t="str">
        <x:v>Target</x:v>
      </x:c>
      <x:c r="G16" s="12" t="n">
        <x:v>3</x:v>
      </x:c>
      <x:c r="H16" s="13" t="n">
        <x:v>23.95</x:v>
      </x:c>
      <x:c r="I16" s="13" t="n">
        <x:v>83.7</x:v>
      </x:c>
      <x:c r="J16" s="13"/>
      <x:c r="K16" s="13" t="str">
        <x:v>1</x:v>
      </x:c>
      <x:c r="L16" s="13" t="n">
        <x:v>0.99</x:v>
      </x:c>
      <x:c r="M16" s="13" t="n">
        <x:v>0.44</x:v>
      </x:c>
      <x:c r="N16" s="12" t="str">
        <x:v>NO</x:v>
      </x:c>
      <x:c r="O16" s="12" t="str">
        <x:v>Mock</x:v>
      </x:c>
      <x:c r="P16" s="14" t="str"/>
      <x:c r="Q16" s="12" t="str">
        <x:v>Mock|||FBN2-2</x:v>
      </x:c>
    </x:row>
    <x:row r="17">
      <x:c r="A17" s="12" t="str">
        <x:v>A16</x:v>
      </x:c>
      <x:c r="B17" s="12" t="str">
        <x:v>A</x:v>
      </x:c>
      <x:c r="C17" s="12" t="n">
        <x:v>16</x:v>
      </x:c>
      <x:c r="D17" s="12" t="str">
        <x:v>Mock</x:v>
      </x:c>
      <x:c r="E17" s="12" t="str">
        <x:v>FBN2-2</x:v>
      </x:c>
      <x:c r="F17" s="12" t="str">
        <x:v>Target</x:v>
      </x:c>
      <x:c r="G17" s="12" t="n">
        <x:v>4</x:v>
      </x:c>
      <x:c r="H17" s="13" t="n">
        <x:v>24.03</x:v>
      </x:c>
      <x:c r="I17" s="13" t="n">
        <x:v>83.74</x:v>
      </x:c>
      <x:c r="J17" s="13"/>
      <x:c r="K17" s="13" t="str">
        <x:v>1</x:v>
      </x:c>
      <x:c r="L17" s="13" t="n">
        <x:v>0.99</x:v>
      </x:c>
      <x:c r="M17" s="13" t="n">
        <x:v>0.45</x:v>
      </x:c>
      <x:c r="N17" s="12" t="str">
        <x:v>NO</x:v>
      </x:c>
      <x:c r="O17" s="12" t="str">
        <x:v>Mock</x:v>
      </x:c>
      <x:c r="P17" s="14" t="str"/>
      <x:c r="Q17" s="12" t="str">
        <x:v>Mock|||FBN2-2</x:v>
      </x:c>
    </x:row>
    <x:row r="18">
      <x:c r="A18" s="12" t="str">
        <x:v>A17</x:v>
      </x:c>
      <x:c r="B18" s="12" t="str">
        <x:v>A</x:v>
      </x:c>
      <x:c r="C18" s="12" t="n">
        <x:v>17</x:v>
      </x:c>
      <x:c r="D18" s="12" t="str">
        <x:v>Mock</x:v>
      </x:c>
      <x:c r="E18" s="12" t="str">
        <x:v>ZNF436-1</x:v>
      </x:c>
      <x:c r="F18" s="12" t="str">
        <x:v>Target</x:v>
      </x:c>
      <x:c r="G18" s="12" t="n">
        <x:v>1</x:v>
      </x:c>
      <x:c r="H18" s="13" t="n">
        <x:v>27.54</x:v>
      </x:c>
      <x:c r="I18" s="13" t="n">
        <x:v>77.8</x:v>
      </x:c>
      <x:c r="J18" s="13"/>
      <x:c r="K18" s="13" t="str">
        <x:v>2</x:v>
      </x:c>
      <x:c r="L18" s="13" t="n">
        <x:v>0.98</x:v>
      </x:c>
      <x:c r="M18" s="13" t="n">
        <x:v>0.74</x:v>
      </x:c>
      <x:c r="N18" s="12" t="str">
        <x:v>NO</x:v>
      </x:c>
      <x:c r="O18" s="12" t="str">
        <x:v>Mock</x:v>
      </x:c>
      <x:c r="P18" s="14" t="str"/>
      <x:c r="Q18" s="12" t="str">
        <x:v>Mock|||ZNF436-1</x:v>
      </x:c>
    </x:row>
    <x:row r="19">
      <x:c r="A19" s="12" t="str">
        <x:v>A18</x:v>
      </x:c>
      <x:c r="B19" s="12" t="str">
        <x:v>A</x:v>
      </x:c>
      <x:c r="C19" s="12" t="n">
        <x:v>18</x:v>
      </x:c>
      <x:c r="D19" s="12" t="str">
        <x:v>Mock</x:v>
      </x:c>
      <x:c r="E19" s="12" t="str">
        <x:v>ZNF436-1</x:v>
      </x:c>
      <x:c r="F19" s="12" t="str">
        <x:v>Target</x:v>
      </x:c>
      <x:c r="G19" s="12" t="n">
        <x:v>2</x:v>
      </x:c>
      <x:c r="H19" s="13" t="n">
        <x:v>27.56</x:v>
      </x:c>
      <x:c r="I19" s="13" t="n">
        <x:v>77.87</x:v>
      </x:c>
      <x:c r="J19" s="13"/>
      <x:c r="K19" s="13" t="str">
        <x:v>2</x:v>
      </x:c>
      <x:c r="L19" s="13" t="n">
        <x:v>0.98</x:v>
      </x:c>
      <x:c r="M19" s="13" t="n">
        <x:v>0.77</x:v>
      </x:c>
      <x:c r="N19" s="12" t="str">
        <x:v>NO</x:v>
      </x:c>
      <x:c r="O19" s="12" t="str">
        <x:v>Mock</x:v>
      </x:c>
      <x:c r="P19" s="14" t="str"/>
      <x:c r="Q19" s="12" t="str">
        <x:v>Mock|||ZNF436-1</x:v>
      </x:c>
    </x:row>
    <x:row r="20">
      <x:c r="A20" s="12" t="str">
        <x:v>A19</x:v>
      </x:c>
      <x:c r="B20" s="12" t="str">
        <x:v>A</x:v>
      </x:c>
      <x:c r="C20" s="12" t="n">
        <x:v>19</x:v>
      </x:c>
      <x:c r="D20" s="12" t="str">
        <x:v>Mock</x:v>
      </x:c>
      <x:c r="E20" s="12" t="str">
        <x:v>ZNF436-1</x:v>
      </x:c>
      <x:c r="F20" s="12" t="str">
        <x:v>Target</x:v>
      </x:c>
      <x:c r="G20" s="12" t="n">
        <x:v>3</x:v>
      </x:c>
      <x:c r="H20" s="13" t="n">
        <x:v>27.64</x:v>
      </x:c>
      <x:c r="I20" s="13" t="n">
        <x:v>77.98</x:v>
      </x:c>
      <x:c r="J20" s="13"/>
      <x:c r="K20" s="13" t="str">
        <x:v>2</x:v>
      </x:c>
      <x:c r="L20" s="13" t="n">
        <x:v>0.99</x:v>
      </x:c>
      <x:c r="M20" s="13" t="n">
        <x:v>0.77</x:v>
      </x:c>
      <x:c r="N20" s="12" t="str">
        <x:v>NO</x:v>
      </x:c>
      <x:c r="O20" s="12" t="str">
        <x:v>Mock</x:v>
      </x:c>
      <x:c r="P20" s="14" t="str"/>
      <x:c r="Q20" s="12" t="str">
        <x:v>Mock|||ZNF436-1</x:v>
      </x:c>
    </x:row>
    <x:row r="21">
      <x:c r="A21" s="12" t="str">
        <x:v>A20</x:v>
      </x:c>
      <x:c r="B21" s="12" t="str">
        <x:v>A</x:v>
      </x:c>
      <x:c r="C21" s="12" t="n">
        <x:v>20</x:v>
      </x:c>
      <x:c r="D21" s="12" t="str">
        <x:v>Mock</x:v>
      </x:c>
      <x:c r="E21" s="12" t="str">
        <x:v>ZNF436-1</x:v>
      </x:c>
      <x:c r="F21" s="12" t="str">
        <x:v>Target</x:v>
      </x:c>
      <x:c r="G21" s="12" t="n">
        <x:v>4</x:v>
      </x:c>
      <x:c r="H21" s="13" t="n">
        <x:v>27.74</x:v>
      </x:c>
      <x:c r="I21" s="13" t="n">
        <x:v>77.95</x:v>
      </x:c>
      <x:c r="J21" s="13"/>
      <x:c r="K21" s="13" t="str">
        <x:v>2</x:v>
      </x:c>
      <x:c r="L21" s="13" t="n">
        <x:v>0.97</x:v>
      </x:c>
      <x:c r="M21" s="13" t="n">
        <x:v>0.73</x:v>
      </x:c>
      <x:c r="N21" s="12" t="str">
        <x:v>NO</x:v>
      </x:c>
      <x:c r="O21" s="12" t="str">
        <x:v>Mock</x:v>
      </x:c>
      <x:c r="P21" s="14" t="str"/>
      <x:c r="Q21" s="12" t="str">
        <x:v>Mock|||ZNF436-1</x:v>
      </x:c>
    </x:row>
    <x:row r="22">
      <x:c r="A22" s="12" t="str">
        <x:v>A21</x:v>
      </x:c>
      <x:c r="B22" s="12" t="str">
        <x:v>A</x:v>
      </x:c>
      <x:c r="C22" s="12" t="n">
        <x:v>21</x:v>
      </x:c>
      <x:c r="D22" s="12" t="str">
        <x:v>Mock</x:v>
      </x:c>
      <x:c r="E22" s="12" t="str">
        <x:v>ZNF436-2</x:v>
      </x:c>
      <x:c r="F22" s="12" t="str">
        <x:v>Target</x:v>
      </x:c>
      <x:c r="G22" s="12" t="n">
        <x:v>1</x:v>
      </x:c>
      <x:c r="H22" s="13" t="n">
        <x:v>26.99</x:v>
      </x:c>
      <x:c r="I22" s="13" t="n">
        <x:v>73.76</x:v>
      </x:c>
      <x:c r="J22" s="13"/>
      <x:c r="K22" s="13" t="str">
        <x:v>3</x:v>
      </x:c>
      <x:c r="L22" s="13" t="n">
        <x:v>0.74</x:v>
      </x:c>
      <x:c r="M22" s="13" t="n">
        <x:v>0.68</x:v>
      </x:c>
      <x:c r="N22" s="12" t="str">
        <x:v>NO</x:v>
      </x:c>
      <x:c r="O22" s="12" t="str">
        <x:v>Mock</x:v>
      </x:c>
      <x:c r="P22" s="14" t="str"/>
      <x:c r="Q22" s="12" t="str">
        <x:v>Mock|||ZNF436-2</x:v>
      </x:c>
    </x:row>
    <x:row r="23">
      <x:c r="A23" s="12" t="str">
        <x:v>A22</x:v>
      </x:c>
      <x:c r="B23" s="12" t="str">
        <x:v>A</x:v>
      </x:c>
      <x:c r="C23" s="12" t="n">
        <x:v>22</x:v>
      </x:c>
      <x:c r="D23" s="12" t="str">
        <x:v>Mock</x:v>
      </x:c>
      <x:c r="E23" s="12" t="str">
        <x:v>ZNF436-2</x:v>
      </x:c>
      <x:c r="F23" s="12" t="str">
        <x:v>Target</x:v>
      </x:c>
      <x:c r="G23" s="12" t="n">
        <x:v>2</x:v>
      </x:c>
      <x:c r="H23" s="13" t="n">
        <x:v>25.59</x:v>
      </x:c>
      <x:c r="I23" s="13" t="n">
        <x:v>73.22</x:v>
      </x:c>
      <x:c r="J23" s="13"/>
      <x:c r="K23" s="13" t="str">
        <x:v>3</x:v>
      </x:c>
      <x:c r="L23" s="13" t="n">
        <x:v>0.99</x:v>
      </x:c>
      <x:c r="M23" s="13" t="n">
        <x:v>0.99</x:v>
      </x:c>
      <x:c r="N23" s="12" t="str">
        <x:v>NO</x:v>
      </x:c>
      <x:c r="O23" s="12" t="str">
        <x:v>Mock</x:v>
      </x:c>
      <x:c r="P23" s="14" t="str"/>
      <x:c r="Q23" s="12" t="str">
        <x:v>Mock|||ZNF436-2</x:v>
      </x:c>
    </x:row>
    <x:row r="24">
      <x:c r="A24" s="12" t="str">
        <x:v>A23</x:v>
      </x:c>
      <x:c r="B24" s="12" t="str">
        <x:v>A</x:v>
      </x:c>
      <x:c r="C24" s="12" t="n">
        <x:v>23</x:v>
      </x:c>
      <x:c r="D24" s="12" t="str">
        <x:v>Mock</x:v>
      </x:c>
      <x:c r="E24" s="12" t="str">
        <x:v>ZNF436-2</x:v>
      </x:c>
      <x:c r="F24" s="12" t="str">
        <x:v>Target</x:v>
      </x:c>
      <x:c r="G24" s="12" t="n">
        <x:v>3</x:v>
      </x:c>
      <x:c r="H24" s="13" t="n">
        <x:v>26.78</x:v>
      </x:c>
      <x:c r="I24" s="13" t="n">
        <x:v>73.25</x:v>
      </x:c>
      <x:c r="J24" s="13"/>
      <x:c r="K24" s="13" t="str">
        <x:v>3</x:v>
      </x:c>
      <x:c r="L24" s="13" t="n">
        <x:v>0.92</x:v>
      </x:c>
      <x:c r="M24" s="13" t="n">
        <x:v>0.91</x:v>
      </x:c>
      <x:c r="N24" s="12" t="str">
        <x:v>NO</x:v>
      </x:c>
      <x:c r="O24" s="12" t="str">
        <x:v>Mock</x:v>
      </x:c>
      <x:c r="P24" s="14" t="str"/>
      <x:c r="Q24" s="12" t="str">
        <x:v>Mock|||ZNF436-2</x:v>
      </x:c>
    </x:row>
    <x:row r="25">
      <x:c r="A25" s="12" t="str">
        <x:v>A24</x:v>
      </x:c>
      <x:c r="B25" s="12" t="str">
        <x:v>A</x:v>
      </x:c>
      <x:c r="C25" s="12" t="n">
        <x:v>24</x:v>
      </x:c>
      <x:c r="D25" s="12" t="str">
        <x:v>Mock</x:v>
      </x:c>
      <x:c r="E25" s="12" t="str">
        <x:v>ZNF436-2</x:v>
      </x:c>
      <x:c r="F25" s="12" t="str">
        <x:v>Target</x:v>
      </x:c>
      <x:c r="G25" s="12" t="n">
        <x:v>4</x:v>
      </x:c>
      <x:c r="H25" s="13" t="n">
        <x:v>25.49</x:v>
      </x:c>
      <x:c r="I25" s="13" t="n">
        <x:v>73.16</x:v>
      </x:c>
      <x:c r="J25" s="13"/>
      <x:c r="K25" s="13" t="str">
        <x:v>3</x:v>
      </x:c>
      <x:c r="L25" s="13" t="n">
        <x:v>0.99</x:v>
      </x:c>
      <x:c r="M25" s="13" t="n">
        <x:v>0.99</x:v>
      </x:c>
      <x:c r="N25" s="12" t="str">
        <x:v>NO</x:v>
      </x:c>
      <x:c r="O25" s="12" t="str">
        <x:v>Mock</x:v>
      </x:c>
      <x:c r="P25" s="14" t="str"/>
      <x:c r="Q25" s="12" t="str">
        <x:v>Mock|||ZNF436-2</x:v>
      </x:c>
    </x:row>
    <x:row r="26">
      <x:c r="A26" s="12" t="str">
        <x:v>B1</x:v>
      </x:c>
      <x:c r="B26" s="12" t="str">
        <x:v>B</x:v>
      </x:c>
      <x:c r="C26" s="12" t="n">
        <x:v>1</x:v>
      </x:c>
      <x:c r="D26" s="12" t="str">
        <x:v>siZNF436-3</x:v>
      </x:c>
      <x:c r="E26" s="12" t="str">
        <x:v>GAPDH</x:v>
      </x:c>
      <x:c r="F26" s="12" t="str">
        <x:v>Reference</x:v>
      </x:c>
      <x:c r="G26" s="12" t="n">
        <x:v>1</x:v>
      </x:c>
      <x:c r="H26" s="13" t="n">
        <x:v>16.37</x:v>
      </x:c>
      <x:c r="I26" s="13" t="n">
        <x:v>85.91</x:v>
      </x:c>
      <x:c r="J26" s="13"/>
      <x:c r="K26" s="13" t="str">
        <x:v>1</x:v>
      </x:c>
      <x:c r="L26" s="13" t="n">
        <x:v>0.85</x:v>
      </x:c>
      <x:c r="M26" s="13" t="n">
        <x:v>0.5</x:v>
      </x:c>
      <x:c r="N26" s="12" t="str">
        <x:v>NO</x:v>
      </x:c>
      <x:c r="O26" s="12" t="str">
        <x:v>siZNF436-3</x:v>
      </x:c>
      <x:c r="P26" s="14" t="str"/>
      <x:c r="Q26" s="12" t="str">
        <x:v>siZNF436-3|||GAPDH</x:v>
      </x:c>
    </x:row>
    <x:row r="27">
      <x:c r="A27" s="12" t="str">
        <x:v>B2</x:v>
      </x:c>
      <x:c r="B27" s="12" t="str">
        <x:v>B</x:v>
      </x:c>
      <x:c r="C27" s="12" t="n">
        <x:v>2</x:v>
      </x:c>
      <x:c r="D27" s="12" t="str">
        <x:v>siZNF436-3</x:v>
      </x:c>
      <x:c r="E27" s="12" t="str">
        <x:v>GAPDH</x:v>
      </x:c>
      <x:c r="F27" s="12" t="str">
        <x:v>Reference</x:v>
      </x:c>
      <x:c r="G27" s="12" t="n">
        <x:v>2</x:v>
      </x:c>
      <x:c r="H27" s="13" t="n">
        <x:v>16.52</x:v>
      </x:c>
      <x:c r="I27" s="13" t="n">
        <x:v>85.96</x:v>
      </x:c>
      <x:c r="J27" s="13"/>
      <x:c r="K27" s="13" t="str">
        <x:v>1</x:v>
      </x:c>
      <x:c r="L27" s="13" t="n">
        <x:v>0.87</x:v>
      </x:c>
      <x:c r="M27" s="13" t="n">
        <x:v>0.5</x:v>
      </x:c>
      <x:c r="N27" s="12" t="str">
        <x:v>NO</x:v>
      </x:c>
      <x:c r="O27" s="12" t="str">
        <x:v>siZNF436-3</x:v>
      </x:c>
      <x:c r="P27" s="14" t="str"/>
      <x:c r="Q27" s="12" t="str">
        <x:v>siZNF436-3|||GAPDH</x:v>
      </x:c>
    </x:row>
    <x:row r="28">
      <x:c r="A28" s="12" t="str">
        <x:v>B3</x:v>
      </x:c>
      <x:c r="B28" s="12" t="str">
        <x:v>B</x:v>
      </x:c>
      <x:c r="C28" s="12" t="n">
        <x:v>3</x:v>
      </x:c>
      <x:c r="D28" s="12" t="str">
        <x:v>siZNF436-3</x:v>
      </x:c>
      <x:c r="E28" s="12" t="str">
        <x:v>GAPDH</x:v>
      </x:c>
      <x:c r="F28" s="12" t="str">
        <x:v>Reference</x:v>
      </x:c>
      <x:c r="G28" s="12" t="n">
        <x:v>3</x:v>
      </x:c>
      <x:c r="H28" s="13" t="n">
        <x:v>16.25</x:v>
      </x:c>
      <x:c r="I28" s="13" t="n">
        <x:v>85.96</x:v>
      </x:c>
      <x:c r="J28" s="13"/>
      <x:c r="K28" s="13" t="str">
        <x:v>1</x:v>
      </x:c>
      <x:c r="L28" s="13" t="n">
        <x:v>0.87</x:v>
      </x:c>
      <x:c r="M28" s="13" t="n">
        <x:v>0.5</x:v>
      </x:c>
      <x:c r="N28" s="12" t="str">
        <x:v>NO</x:v>
      </x:c>
      <x:c r="O28" s="12" t="str">
        <x:v>siZNF436-3</x:v>
      </x:c>
      <x:c r="P28" s="14" t="str"/>
      <x:c r="Q28" s="12" t="str">
        <x:v>siZNF436-3|||GAPDH</x:v>
      </x:c>
    </x:row>
    <x:row r="29">
      <x:c r="A29" s="12" t="str">
        <x:v>B4</x:v>
      </x:c>
      <x:c r="B29" s="12" t="str">
        <x:v>B</x:v>
      </x:c>
      <x:c r="C29" s="12" t="n">
        <x:v>4</x:v>
      </x:c>
      <x:c r="D29" s="12" t="str">
        <x:v>siZNF436-3</x:v>
      </x:c>
      <x:c r="E29" s="12" t="str">
        <x:v>GAPDH</x:v>
      </x:c>
      <x:c r="F29" s="12" t="str">
        <x:v>Reference</x:v>
      </x:c>
      <x:c r="G29" s="12" t="n">
        <x:v>4</x:v>
      </x:c>
      <x:c r="H29" s="13" t="n">
        <x:v>16.44</x:v>
      </x:c>
      <x:c r="I29" s="13" t="n">
        <x:v>85.94</x:v>
      </x:c>
      <x:c r="J29" s="13"/>
      <x:c r="K29" s="13" t="str">
        <x:v>1</x:v>
      </x:c>
      <x:c r="L29" s="13" t="n">
        <x:v>0.89</x:v>
      </x:c>
      <x:c r="M29" s="13" t="n">
        <x:v>0.5</x:v>
      </x:c>
      <x:c r="N29" s="12" t="str">
        <x:v>NO</x:v>
      </x:c>
      <x:c r="O29" s="12" t="str">
        <x:v>siZNF436-3</x:v>
      </x:c>
      <x:c r="P29" s="14" t="str"/>
      <x:c r="Q29" s="12" t="str">
        <x:v>siZNF436-3|||GAPDH</x:v>
      </x:c>
    </x:row>
    <x:row r="30">
      <x:c r="A30" s="12" t="str">
        <x:v>B5</x:v>
      </x:c>
      <x:c r="B30" s="12" t="str">
        <x:v>B</x:v>
      </x:c>
      <x:c r="C30" s="12" t="n">
        <x:v>5</x:v>
      </x:c>
      <x:c r="D30" s="12" t="str">
        <x:v>siZNF436-3</x:v>
      </x:c>
      <x:c r="E30" s="12" t="str">
        <x:v>TBP</x:v>
      </x:c>
      <x:c r="F30" s="12" t="str">
        <x:v>Reference</x:v>
      </x:c>
      <x:c r="G30" s="12" t="n">
        <x:v>1</x:v>
      </x:c>
      <x:c r="H30" s="13" t="n">
        <x:v>25.12</x:v>
      </x:c>
      <x:c r="I30" s="13" t="n">
        <x:v>80.22</x:v>
      </x:c>
      <x:c r="J30" s="13"/>
      <x:c r="K30" s="13" t="str">
        <x:v>1</x:v>
      </x:c>
      <x:c r="L30" s="13" t="n">
        <x:v>0.98</x:v>
      </x:c>
      <x:c r="M30" s="13" t="n">
        <x:v>0.18</x:v>
      </x:c>
      <x:c r="N30" s="12" t="str">
        <x:v>NO</x:v>
      </x:c>
      <x:c r="O30" s="12" t="str">
        <x:v>siZNF436-3</x:v>
      </x:c>
      <x:c r="P30" s="14" t="str"/>
      <x:c r="Q30" s="12" t="str">
        <x:v>siZNF436-3|||TBP</x:v>
      </x:c>
    </x:row>
    <x:row r="31">
      <x:c r="A31" s="12" t="str">
        <x:v>B6</x:v>
      </x:c>
      <x:c r="B31" s="12" t="str">
        <x:v>B</x:v>
      </x:c>
      <x:c r="C31" s="12" t="n">
        <x:v>6</x:v>
      </x:c>
      <x:c r="D31" s="12" t="str">
        <x:v>siZNF436-3</x:v>
      </x:c>
      <x:c r="E31" s="12" t="str">
        <x:v>TBP</x:v>
      </x:c>
      <x:c r="F31" s="12" t="str">
        <x:v>Reference</x:v>
      </x:c>
      <x:c r="G31" s="12" t="n">
        <x:v>2</x:v>
      </x:c>
      <x:c r="H31" s="13" t="n">
        <x:v>24.99</x:v>
      </x:c>
      <x:c r="I31" s="13" t="n">
        <x:v>80.25</x:v>
      </x:c>
      <x:c r="J31" s="13"/>
      <x:c r="K31" s="13" t="str">
        <x:v>1</x:v>
      </x:c>
      <x:c r="L31" s="13" t="n">
        <x:v>0.98</x:v>
      </x:c>
      <x:c r="M31" s="13" t="n">
        <x:v>0.18</x:v>
      </x:c>
      <x:c r="N31" s="12" t="str">
        <x:v>NO</x:v>
      </x:c>
      <x:c r="O31" s="12" t="str">
        <x:v>siZNF436-3</x:v>
      </x:c>
      <x:c r="P31" s="14" t="str"/>
      <x:c r="Q31" s="12" t="str">
        <x:v>siZNF436-3|||TBP</x:v>
      </x:c>
    </x:row>
    <x:row r="32">
      <x:c r="A32" s="12" t="str">
        <x:v>B7</x:v>
      </x:c>
      <x:c r="B32" s="12" t="str">
        <x:v>B</x:v>
      </x:c>
      <x:c r="C32" s="12" t="n">
        <x:v>7</x:v>
      </x:c>
      <x:c r="D32" s="12" t="str">
        <x:v>siZNF436-3</x:v>
      </x:c>
      <x:c r="E32" s="12" t="str">
        <x:v>TBP</x:v>
      </x:c>
      <x:c r="F32" s="12" t="str">
        <x:v>Reference</x:v>
      </x:c>
      <x:c r="G32" s="12" t="n">
        <x:v>3</x:v>
      </x:c>
      <x:c r="H32" s="13" t="n">
        <x:v>25.27</x:v>
      </x:c>
      <x:c r="I32" s="13" t="n">
        <x:v>80.21</x:v>
      </x:c>
      <x:c r="J32" s="13"/>
      <x:c r="K32" s="13" t="str">
        <x:v>1</x:v>
      </x:c>
      <x:c r="L32" s="13" t="n">
        <x:v>0.98</x:v>
      </x:c>
      <x:c r="M32" s="13" t="n">
        <x:v>0.17</x:v>
      </x:c>
      <x:c r="N32" s="12" t="str">
        <x:v>NO</x:v>
      </x:c>
      <x:c r="O32" s="12" t="str">
        <x:v>siZNF436-3</x:v>
      </x:c>
      <x:c r="P32" s="14" t="str"/>
      <x:c r="Q32" s="12" t="str">
        <x:v>siZNF436-3|||TBP</x:v>
      </x:c>
    </x:row>
    <x:row r="33">
      <x:c r="A33" s="12" t="str">
        <x:v>B8</x:v>
      </x:c>
      <x:c r="B33" s="12" t="str">
        <x:v>B</x:v>
      </x:c>
      <x:c r="C33" s="12" t="n">
        <x:v>8</x:v>
      </x:c>
      <x:c r="D33" s="12" t="str">
        <x:v>siZNF436-3</x:v>
      </x:c>
      <x:c r="E33" s="12" t="str">
        <x:v>TBP</x:v>
      </x:c>
      <x:c r="F33" s="12" t="str">
        <x:v>Reference</x:v>
      </x:c>
      <x:c r="G33" s="12" t="n">
        <x:v>4</x:v>
      </x:c>
      <x:c r="H33" s="13" t="n">
        <x:v>25.08</x:v>
      </x:c>
      <x:c r="I33" s="13" t="n">
        <x:v>80.2</x:v>
      </x:c>
      <x:c r="J33" s="13"/>
      <x:c r="K33" s="13" t="str">
        <x:v>1</x:v>
      </x:c>
      <x:c r="L33" s="13" t="n">
        <x:v>0.99</x:v>
      </x:c>
      <x:c r="M33" s="13" t="n">
        <x:v>0.19</x:v>
      </x:c>
      <x:c r="N33" s="12" t="str">
        <x:v>NO</x:v>
      </x:c>
      <x:c r="O33" s="12" t="str">
        <x:v>siZNF436-3</x:v>
      </x:c>
      <x:c r="P33" s="14" t="str"/>
      <x:c r="Q33" s="12" t="str">
        <x:v>siZNF436-3|||TBP</x:v>
      </x:c>
    </x:row>
    <x:row r="34">
      <x:c r="A34" s="12" t="str">
        <x:v>B9</x:v>
      </x:c>
      <x:c r="B34" s="12" t="str">
        <x:v>B</x:v>
      </x:c>
      <x:c r="C34" s="12" t="n">
        <x:v>9</x:v>
      </x:c>
      <x:c r="D34" s="12" t="str">
        <x:v>siZNF436-3</x:v>
      </x:c>
      <x:c r="E34" s="12" t="str">
        <x:v>FBN2-1</x:v>
      </x:c>
      <x:c r="F34" s="12" t="str">
        <x:v>Target</x:v>
      </x:c>
      <x:c r="G34" s="12" t="n">
        <x:v>1</x:v>
      </x:c>
      <x:c r="H34" s="13" t="n">
        <x:v>23.78</x:v>
      </x:c>
      <x:c r="I34" s="13" t="n">
        <x:v>79.27</x:v>
      </x:c>
      <x:c r="J34" s="13"/>
      <x:c r="K34" s="13" t="str">
        <x:v>2</x:v>
      </x:c>
      <x:c r="L34" s="13" t="n">
        <x:v>0.97</x:v>
      </x:c>
      <x:c r="M34" s="13" t="n">
        <x:v>0.46</x:v>
      </x:c>
      <x:c r="N34" s="12" t="str">
        <x:v>NO</x:v>
      </x:c>
      <x:c r="O34" s="12" t="str">
        <x:v>siZNF436-3</x:v>
      </x:c>
      <x:c r="P34" s="14" t="str"/>
      <x:c r="Q34" s="12" t="str">
        <x:v>siZNF436-3|||FBN2-1</x:v>
      </x:c>
    </x:row>
    <x:row r="35">
      <x:c r="A35" s="12" t="str">
        <x:v>B10</x:v>
      </x:c>
      <x:c r="B35" s="12" t="str">
        <x:v>B</x:v>
      </x:c>
      <x:c r="C35" s="12" t="n">
        <x:v>10</x:v>
      </x:c>
      <x:c r="D35" s="12" t="str">
        <x:v>siZNF436-3</x:v>
      </x:c>
      <x:c r="E35" s="12" t="str">
        <x:v>FBN2-1</x:v>
      </x:c>
      <x:c r="F35" s="12" t="str">
        <x:v>Target</x:v>
      </x:c>
      <x:c r="G35" s="12" t="n">
        <x:v>2</x:v>
      </x:c>
      <x:c r="H35" s="13" t="n">
        <x:v>22.74</x:v>
      </x:c>
      <x:c r="I35" s="13" t="n">
        <x:v>79.28</x:v>
      </x:c>
      <x:c r="J35" s="13"/>
      <x:c r="K35" s="13" t="str">
        <x:v>2</x:v>
      </x:c>
      <x:c r="L35" s="13" t="n">
        <x:v>0.96</x:v>
      </x:c>
      <x:c r="M35" s="13" t="n">
        <x:v>0.46</x:v>
      </x:c>
      <x:c r="N35" s="12" t="str">
        <x:v>NO</x:v>
      </x:c>
      <x:c r="O35" s="12" t="str">
        <x:v>siZNF436-3</x:v>
      </x:c>
      <x:c r="P35" s="14" t="str">
        <x:v>列10：修正板图备注‘可能加了两遍cDNA’，范围需实验记录确认</x:v>
      </x:c>
      <x:c r="Q35" s="12" t="str">
        <x:v>siZNF436-3|||FBN2-1</x:v>
      </x:c>
    </x:row>
    <x:row r="36">
      <x:c r="A36" s="12" t="str">
        <x:v>B11</x:v>
      </x:c>
      <x:c r="B36" s="12" t="str">
        <x:v>B</x:v>
      </x:c>
      <x:c r="C36" s="12" t="n">
        <x:v>11</x:v>
      </x:c>
      <x:c r="D36" s="12" t="str">
        <x:v>siZNF436-3</x:v>
      </x:c>
      <x:c r="E36" s="12" t="str">
        <x:v>FBN2-1</x:v>
      </x:c>
      <x:c r="F36" s="12" t="str">
        <x:v>Target</x:v>
      </x:c>
      <x:c r="G36" s="12" t="n">
        <x:v>3</x:v>
      </x:c>
      <x:c r="H36" s="13" t="n">
        <x:v>23.79</x:v>
      </x:c>
      <x:c r="I36" s="13" t="n">
        <x:v>79.27</x:v>
      </x:c>
      <x:c r="J36" s="13"/>
      <x:c r="K36" s="13" t="str">
        <x:v>2</x:v>
      </x:c>
      <x:c r="L36" s="13" t="n">
        <x:v>0.97</x:v>
      </x:c>
      <x:c r="M36" s="13" t="n">
        <x:v>0.46</x:v>
      </x:c>
      <x:c r="N36" s="12" t="str">
        <x:v>NO</x:v>
      </x:c>
      <x:c r="O36" s="12" t="str">
        <x:v>siZNF436-3</x:v>
      </x:c>
      <x:c r="P36" s="14" t="str"/>
      <x:c r="Q36" s="12" t="str">
        <x:v>siZNF436-3|||FBN2-1</x:v>
      </x:c>
    </x:row>
    <x:row r="37">
      <x:c r="A37" s="12" t="str">
        <x:v>B12</x:v>
      </x:c>
      <x:c r="B37" s="12" t="str">
        <x:v>B</x:v>
      </x:c>
      <x:c r="C37" s="12" t="n">
        <x:v>12</x:v>
      </x:c>
      <x:c r="D37" s="12" t="str">
        <x:v>siZNF436-3</x:v>
      </x:c>
      <x:c r="E37" s="12" t="str">
        <x:v>FBN2-1</x:v>
      </x:c>
      <x:c r="F37" s="12" t="str">
        <x:v>Target</x:v>
      </x:c>
      <x:c r="G37" s="12" t="n">
        <x:v>4</x:v>
      </x:c>
      <x:c r="H37" s="13" t="n">
        <x:v>22.53</x:v>
      </x:c>
      <x:c r="I37" s="13" t="n">
        <x:v>79.37</x:v>
      </x:c>
      <x:c r="J37" s="13"/>
      <x:c r="K37" s="13" t="str">
        <x:v>2</x:v>
      </x:c>
      <x:c r="L37" s="13" t="n">
        <x:v>0.93</x:v>
      </x:c>
      <x:c r="M37" s="13" t="n">
        <x:v>0.44</x:v>
      </x:c>
      <x:c r="N37" s="12" t="str">
        <x:v>NO</x:v>
      </x:c>
      <x:c r="O37" s="12" t="str">
        <x:v>siZNF436-3</x:v>
      </x:c>
      <x:c r="P37" s="14" t="str"/>
      <x:c r="Q37" s="12" t="str">
        <x:v>siZNF436-3|||FBN2-1</x:v>
      </x:c>
    </x:row>
    <x:row r="38">
      <x:c r="A38" s="12" t="str">
        <x:v>B13</x:v>
      </x:c>
      <x:c r="B38" s="12" t="str">
        <x:v>B</x:v>
      </x:c>
      <x:c r="C38" s="12" t="n">
        <x:v>13</x:v>
      </x:c>
      <x:c r="D38" s="12" t="str">
        <x:v>siZNF436-3</x:v>
      </x:c>
      <x:c r="E38" s="12" t="str">
        <x:v>FBN2-2</x:v>
      </x:c>
      <x:c r="F38" s="12" t="str">
        <x:v>Target</x:v>
      </x:c>
      <x:c r="G38" s="12" t="n">
        <x:v>1</x:v>
      </x:c>
      <x:c r="H38" s="13" t="n">
        <x:v>23.79</x:v>
      </x:c>
      <x:c r="I38" s="13" t="n">
        <x:v>83.54</x:v>
      </x:c>
      <x:c r="J38" s="13"/>
      <x:c r="K38" s="13" t="str">
        <x:v>1</x:v>
      </x:c>
      <x:c r="L38" s="13" t="n">
        <x:v>0.98</x:v>
      </x:c>
      <x:c r="M38" s="13" t="n">
        <x:v>0.32</x:v>
      </x:c>
      <x:c r="N38" s="12" t="str">
        <x:v>NO</x:v>
      </x:c>
      <x:c r="O38" s="12" t="str">
        <x:v>siZNF436-3</x:v>
      </x:c>
      <x:c r="P38" s="14" t="str"/>
      <x:c r="Q38" s="12" t="str">
        <x:v>siZNF436-3|||FBN2-2</x:v>
      </x:c>
    </x:row>
    <x:row r="39">
      <x:c r="A39" s="12" t="str">
        <x:v>B14</x:v>
      </x:c>
      <x:c r="B39" s="12" t="str">
        <x:v>B</x:v>
      </x:c>
      <x:c r="C39" s="12" t="n">
        <x:v>14</x:v>
      </x:c>
      <x:c r="D39" s="12" t="str">
        <x:v>siZNF436-3</x:v>
      </x:c>
      <x:c r="E39" s="12" t="str">
        <x:v>FBN2-2</x:v>
      </x:c>
      <x:c r="F39" s="12" t="str">
        <x:v>Target</x:v>
      </x:c>
      <x:c r="G39" s="12" t="n">
        <x:v>2</x:v>
      </x:c>
      <x:c r="H39" s="13" t="n">
        <x:v>23.84</x:v>
      </x:c>
      <x:c r="I39" s="13" t="n">
        <x:v>83.59</x:v>
      </x:c>
      <x:c r="J39" s="13"/>
      <x:c r="K39" s="13" t="str">
        <x:v>1</x:v>
      </x:c>
      <x:c r="L39" s="13" t="n">
        <x:v>0.99</x:v>
      </x:c>
      <x:c r="M39" s="13" t="n">
        <x:v>0.35</x:v>
      </x:c>
      <x:c r="N39" s="12" t="str">
        <x:v>NO</x:v>
      </x:c>
      <x:c r="O39" s="12" t="str">
        <x:v>siZNF436-3</x:v>
      </x:c>
      <x:c r="P39" s="14" t="str">
        <x:v>列14：cDNA样本整体向上错位一位，已按修正板图重映射</x:v>
      </x:c>
      <x:c r="Q39" s="12" t="str">
        <x:v>siZNF436-3|||FBN2-2</x:v>
      </x:c>
    </x:row>
    <x:row r="40">
      <x:c r="A40" s="12" t="str">
        <x:v>B15</x:v>
      </x:c>
      <x:c r="B40" s="12" t="str">
        <x:v>B</x:v>
      </x:c>
      <x:c r="C40" s="12" t="n">
        <x:v>15</x:v>
      </x:c>
      <x:c r="D40" s="12" t="str">
        <x:v>siZNF436-3</x:v>
      </x:c>
      <x:c r="E40" s="12" t="str">
        <x:v>FBN2-2</x:v>
      </x:c>
      <x:c r="F40" s="12" t="str">
        <x:v>Target</x:v>
      </x:c>
      <x:c r="G40" s="12" t="n">
        <x:v>3</x:v>
      </x:c>
      <x:c r="H40" s="13" t="n">
        <x:v>23.85</x:v>
      </x:c>
      <x:c r="I40" s="13" t="n">
        <x:v>83.63</x:v>
      </x:c>
      <x:c r="J40" s="13"/>
      <x:c r="K40" s="13" t="str">
        <x:v>1</x:v>
      </x:c>
      <x:c r="L40" s="13" t="n">
        <x:v>0.99</x:v>
      </x:c>
      <x:c r="M40" s="13" t="n">
        <x:v>0.34</x:v>
      </x:c>
      <x:c r="N40" s="12" t="str">
        <x:v>NO</x:v>
      </x:c>
      <x:c r="O40" s="12" t="str">
        <x:v>siZNF436-3</x:v>
      </x:c>
      <x:c r="P40" s="14" t="str"/>
      <x:c r="Q40" s="12" t="str">
        <x:v>siZNF436-3|||FBN2-2</x:v>
      </x:c>
    </x:row>
    <x:row r="41">
      <x:c r="A41" s="12" t="str">
        <x:v>B16</x:v>
      </x:c>
      <x:c r="B41" s="12" t="str">
        <x:v>B</x:v>
      </x:c>
      <x:c r="C41" s="12" t="n">
        <x:v>16</x:v>
      </x:c>
      <x:c r="D41" s="12" t="str">
        <x:v>siZNF436-3</x:v>
      </x:c>
      <x:c r="E41" s="12" t="str">
        <x:v>FBN2-2</x:v>
      </x:c>
      <x:c r="F41" s="12" t="str">
        <x:v>Target</x:v>
      </x:c>
      <x:c r="G41" s="12" t="n">
        <x:v>4</x:v>
      </x:c>
      <x:c r="H41" s="13" t="n">
        <x:v>23.81</x:v>
      </x:c>
      <x:c r="I41" s="13" t="n">
        <x:v>83.62</x:v>
      </x:c>
      <x:c r="J41" s="13"/>
      <x:c r="K41" s="13" t="str">
        <x:v>1</x:v>
      </x:c>
      <x:c r="L41" s="13" t="n">
        <x:v>0.99</x:v>
      </x:c>
      <x:c r="M41" s="13" t="n">
        <x:v>0.33</x:v>
      </x:c>
      <x:c r="N41" s="12" t="str">
        <x:v>NO</x:v>
      </x:c>
      <x:c r="O41" s="12" t="str">
        <x:v>siZNF436-3</x:v>
      </x:c>
      <x:c r="P41" s="14" t="str"/>
      <x:c r="Q41" s="12" t="str">
        <x:v>siZNF436-3|||FBN2-2</x:v>
      </x:c>
    </x:row>
    <x:row r="42">
      <x:c r="A42" s="12" t="str">
        <x:v>B17</x:v>
      </x:c>
      <x:c r="B42" s="12" t="str">
        <x:v>B</x:v>
      </x:c>
      <x:c r="C42" s="12" t="n">
        <x:v>17</x:v>
      </x:c>
      <x:c r="D42" s="12" t="str">
        <x:v>siZNF436-3</x:v>
      </x:c>
      <x:c r="E42" s="12" t="str">
        <x:v>ZNF436-1</x:v>
      </x:c>
      <x:c r="F42" s="12" t="str">
        <x:v>Target</x:v>
      </x:c>
      <x:c r="G42" s="12" t="n">
        <x:v>1</x:v>
      </x:c>
      <x:c r="H42" s="13" t="n">
        <x:v>29.28</x:v>
      </x:c>
      <x:c r="I42" s="13" t="n">
        <x:v>76.91</x:v>
      </x:c>
      <x:c r="J42" s="13"/>
      <x:c r="K42" s="13" t="str">
        <x:v>3</x:v>
      </x:c>
      <x:c r="L42" s="13" t="n">
        <x:v>0.87</x:v>
      </x:c>
      <x:c r="M42" s="13" t="n">
        <x:v>0.3</x:v>
      </x:c>
      <x:c r="N42" s="12" t="str">
        <x:v>NO</x:v>
      </x:c>
      <x:c r="O42" s="12" t="str">
        <x:v>siZNF436-3</x:v>
      </x:c>
      <x:c r="P42" s="14" t="str"/>
      <x:c r="Q42" s="12" t="str">
        <x:v>siZNF436-3|||ZNF436-1</x:v>
      </x:c>
    </x:row>
    <x:row r="43">
      <x:c r="A43" s="12" t="str">
        <x:v>B18</x:v>
      </x:c>
      <x:c r="B43" s="12" t="str">
        <x:v>B</x:v>
      </x:c>
      <x:c r="C43" s="12" t="n">
        <x:v>18</x:v>
      </x:c>
      <x:c r="D43" s="12" t="str">
        <x:v>siZNF436-3</x:v>
      </x:c>
      <x:c r="E43" s="12" t="str">
        <x:v>ZNF436-1</x:v>
      </x:c>
      <x:c r="F43" s="12" t="str">
        <x:v>Target</x:v>
      </x:c>
      <x:c r="G43" s="12" t="n">
        <x:v>2</x:v>
      </x:c>
      <x:c r="H43" s="13" t="n">
        <x:v>29.51</x:v>
      </x:c>
      <x:c r="I43" s="13" t="n">
        <x:v>76.89</x:v>
      </x:c>
      <x:c r="J43" s="13"/>
      <x:c r="K43" s="13" t="str">
        <x:v>3</x:v>
      </x:c>
      <x:c r="L43" s="13" t="n">
        <x:v>0.82</x:v>
      </x:c>
      <x:c r="M43" s="13" t="n">
        <x:v>0.32</x:v>
      </x:c>
      <x:c r="N43" s="12" t="str">
        <x:v>NO</x:v>
      </x:c>
      <x:c r="O43" s="12" t="str">
        <x:v>siZNF436-3</x:v>
      </x:c>
      <x:c r="P43" s="14" t="str"/>
      <x:c r="Q43" s="12" t="str">
        <x:v>siZNF436-3|||ZNF436-1</x:v>
      </x:c>
    </x:row>
    <x:row r="44">
      <x:c r="A44" s="12" t="str">
        <x:v>B19</x:v>
      </x:c>
      <x:c r="B44" s="12" t="str">
        <x:v>B</x:v>
      </x:c>
      <x:c r="C44" s="12" t="n">
        <x:v>19</x:v>
      </x:c>
      <x:c r="D44" s="12" t="str">
        <x:v>siZNF436-3</x:v>
      </x:c>
      <x:c r="E44" s="12" t="str">
        <x:v>ZNF436-1</x:v>
      </x:c>
      <x:c r="F44" s="12" t="str">
        <x:v>Target</x:v>
      </x:c>
      <x:c r="G44" s="12" t="n">
        <x:v>3</x:v>
      </x:c>
      <x:c r="H44" s="13" t="n">
        <x:v>29.75</x:v>
      </x:c>
      <x:c r="I44" s="13" t="n">
        <x:v>77.16</x:v>
      </x:c>
      <x:c r="J44" s="13"/>
      <x:c r="K44" s="13" t="str">
        <x:v>3</x:v>
      </x:c>
      <x:c r="L44" s="13" t="n">
        <x:v>0.87</x:v>
      </x:c>
      <x:c r="M44" s="13" t="n">
        <x:v>0.25</x:v>
      </x:c>
      <x:c r="N44" s="12" t="str">
        <x:v>NO</x:v>
      </x:c>
      <x:c r="O44" s="12" t="str">
        <x:v>siZNF436-3</x:v>
      </x:c>
      <x:c r="P44" s="14" t="str"/>
      <x:c r="Q44" s="12" t="str">
        <x:v>siZNF436-3|||ZNF436-1</x:v>
      </x:c>
    </x:row>
    <x:row r="45">
      <x:c r="A45" s="12" t="str">
        <x:v>B20</x:v>
      </x:c>
      <x:c r="B45" s="12" t="str">
        <x:v>B</x:v>
      </x:c>
      <x:c r="C45" s="12" t="n">
        <x:v>20</x:v>
      </x:c>
      <x:c r="D45" s="12" t="str">
        <x:v>siZNF436-3</x:v>
      </x:c>
      <x:c r="E45" s="12" t="str">
        <x:v>ZNF436-1</x:v>
      </x:c>
      <x:c r="F45" s="12" t="str">
        <x:v>Target</x:v>
      </x:c>
      <x:c r="G45" s="12" t="n">
        <x:v>4</x:v>
      </x:c>
      <x:c r="H45" s="13" t="n">
        <x:v>29.28</x:v>
      </x:c>
      <x:c r="I45" s="13" t="n">
        <x:v>77.13</x:v>
      </x:c>
      <x:c r="J45" s="13"/>
      <x:c r="K45" s="13" t="str">
        <x:v>3</x:v>
      </x:c>
      <x:c r="L45" s="13" t="n">
        <x:v>0.86</x:v>
      </x:c>
      <x:c r="M45" s="13" t="n">
        <x:v>0.27</x:v>
      </x:c>
      <x:c r="N45" s="12" t="str">
        <x:v>NO</x:v>
      </x:c>
      <x:c r="O45" s="12" t="str">
        <x:v>siZNF436-3</x:v>
      </x:c>
      <x:c r="P45" s="14" t="str"/>
      <x:c r="Q45" s="12" t="str">
        <x:v>siZNF436-3|||ZNF436-1</x:v>
      </x:c>
    </x:row>
    <x:row r="46">
      <x:c r="A46" s="12" t="str">
        <x:v>B21</x:v>
      </x:c>
      <x:c r="B46" s="12" t="str">
        <x:v>B</x:v>
      </x:c>
      <x:c r="C46" s="12" t="n">
        <x:v>21</x:v>
      </x:c>
      <x:c r="D46" s="12" t="str">
        <x:v>siZNF436-3</x:v>
      </x:c>
      <x:c r="E46" s="12" t="str">
        <x:v>ZNF436-2</x:v>
      </x:c>
      <x:c r="F46" s="12" t="str">
        <x:v>Target</x:v>
      </x:c>
      <x:c r="G46" s="12" t="n">
        <x:v>1</x:v>
      </x:c>
      <x:c r="H46" s="13" t="n">
        <x:v>25.88</x:v>
      </x:c>
      <x:c r="I46" s="13" t="n">
        <x:v>73.12</x:v>
      </x:c>
      <x:c r="J46" s="13"/>
      <x:c r="K46" s="13" t="str">
        <x:v>3</x:v>
      </x:c>
      <x:c r="L46" s="13" t="n">
        <x:v>0.99</x:v>
      </x:c>
      <x:c r="M46" s="13" t="n">
        <x:v>0.98</x:v>
      </x:c>
      <x:c r="N46" s="12" t="str">
        <x:v>NO</x:v>
      </x:c>
      <x:c r="O46" s="12" t="str">
        <x:v>siZNF436-3</x:v>
      </x:c>
      <x:c r="P46" s="14" t="str"/>
      <x:c r="Q46" s="12" t="str">
        <x:v>siZNF436-3|||ZNF436-2</x:v>
      </x:c>
    </x:row>
    <x:row r="47">
      <x:c r="A47" s="12" t="str">
        <x:v>B22</x:v>
      </x:c>
      <x:c r="B47" s="12" t="str">
        <x:v>B</x:v>
      </x:c>
      <x:c r="C47" s="12" t="n">
        <x:v>22</x:v>
      </x:c>
      <x:c r="D47" s="12" t="str">
        <x:v>siZNF436-3</x:v>
      </x:c>
      <x:c r="E47" s="12" t="str">
        <x:v>ZNF436-2</x:v>
      </x:c>
      <x:c r="F47" s="12" t="str">
        <x:v>Target</x:v>
      </x:c>
      <x:c r="G47" s="12" t="n">
        <x:v>2</x:v>
      </x:c>
      <x:c r="H47" s="13" t="n">
        <x:v>25.73</x:v>
      </x:c>
      <x:c r="I47" s="13" t="n">
        <x:v>73.15</x:v>
      </x:c>
      <x:c r="J47" s="13"/>
      <x:c r="K47" s="13" t="str">
        <x:v>3</x:v>
      </x:c>
      <x:c r="L47" s="13" t="n">
        <x:v>0.99</x:v>
      </x:c>
      <x:c r="M47" s="13" t="n">
        <x:v>0.99</x:v>
      </x:c>
      <x:c r="N47" s="12" t="str">
        <x:v>NO</x:v>
      </x:c>
      <x:c r="O47" s="12" t="str">
        <x:v>siZNF436-3</x:v>
      </x:c>
      <x:c r="P47" s="14" t="str"/>
      <x:c r="Q47" s="12" t="str">
        <x:v>siZNF436-3|||ZNF436-2</x:v>
      </x:c>
    </x:row>
    <x:row r="48">
      <x:c r="A48" s="12" t="str">
        <x:v>B23</x:v>
      </x:c>
      <x:c r="B48" s="12" t="str">
        <x:v>B</x:v>
      </x:c>
      <x:c r="C48" s="12" t="n">
        <x:v>23</x:v>
      </x:c>
      <x:c r="D48" s="12" t="str">
        <x:v>siZNF436-3</x:v>
      </x:c>
      <x:c r="E48" s="12" t="str">
        <x:v>ZNF436-2</x:v>
      </x:c>
      <x:c r="F48" s="12" t="str">
        <x:v>Target</x:v>
      </x:c>
      <x:c r="G48" s="12" t="n">
        <x:v>3</x:v>
      </x:c>
      <x:c r="H48" s="13" t="n">
        <x:v>25.78</x:v>
      </x:c>
      <x:c r="I48" s="13" t="n">
        <x:v>73.16</x:v>
      </x:c>
      <x:c r="J48" s="13"/>
      <x:c r="K48" s="13" t="str">
        <x:v>3</x:v>
      </x:c>
      <x:c r="L48" s="13" t="n">
        <x:v>0.99</x:v>
      </x:c>
      <x:c r="M48" s="13" t="n">
        <x:v>0.99</x:v>
      </x:c>
      <x:c r="N48" s="12" t="str">
        <x:v>NO</x:v>
      </x:c>
      <x:c r="O48" s="12" t="str">
        <x:v>siZNF436-3</x:v>
      </x:c>
      <x:c r="P48" s="14" t="str"/>
      <x:c r="Q48" s="12" t="str">
        <x:v>siZNF436-3|||ZNF436-2</x:v>
      </x:c>
    </x:row>
    <x:row r="49">
      <x:c r="A49" s="12" t="str">
        <x:v>B24</x:v>
      </x:c>
      <x:c r="B49" s="12" t="str">
        <x:v>B</x:v>
      </x:c>
      <x:c r="C49" s="12" t="n">
        <x:v>24</x:v>
      </x:c>
      <x:c r="D49" s="12" t="str">
        <x:v>siZNF436-3</x:v>
      </x:c>
      <x:c r="E49" s="12" t="str">
        <x:v>ZNF436-2</x:v>
      </x:c>
      <x:c r="F49" s="12" t="str">
        <x:v>Target</x:v>
      </x:c>
      <x:c r="G49" s="12" t="n">
        <x:v>4</x:v>
      </x:c>
      <x:c r="H49" s="13" t="n">
        <x:v>25.74</x:v>
      </x:c>
      <x:c r="I49" s="13" t="n">
        <x:v>73.18</x:v>
      </x:c>
      <x:c r="J49" s="13"/>
      <x:c r="K49" s="13" t="str">
        <x:v>3</x:v>
      </x:c>
      <x:c r="L49" s="13" t="n">
        <x:v>0.99</x:v>
      </x:c>
      <x:c r="M49" s="13" t="n">
        <x:v>0.99</x:v>
      </x:c>
      <x:c r="N49" s="12" t="str">
        <x:v>NO</x:v>
      </x:c>
      <x:c r="O49" s="12" t="str">
        <x:v>siZNF436-3</x:v>
      </x:c>
      <x:c r="P49" s="14" t="str"/>
      <x:c r="Q49" s="12" t="str">
        <x:v>siZNF436-3|||ZNF436-2</x:v>
      </x:c>
    </x:row>
    <x:row r="50">
      <x:c r="A50" s="12" t="str">
        <x:v>C1</x:v>
      </x:c>
      <x:c r="B50" s="12" t="str">
        <x:v>C</x:v>
      </x:c>
      <x:c r="C50" s="12" t="n">
        <x:v>1</x:v>
      </x:c>
      <x:c r="D50" s="12" t="str">
        <x:v>NC-FAM</x:v>
      </x:c>
      <x:c r="E50" s="12" t="str">
        <x:v>GAPDH</x:v>
      </x:c>
      <x:c r="F50" s="12" t="str">
        <x:v>Reference</x:v>
      </x:c>
      <x:c r="G50" s="12" t="n">
        <x:v>1</x:v>
      </x:c>
      <x:c r="H50" s="13" t="n">
        <x:v>15.91</x:v>
      </x:c>
      <x:c r="I50" s="13" t="n">
        <x:v>85.98</x:v>
      </x:c>
      <x:c r="J50" s="13"/>
      <x:c r="K50" s="13" t="str">
        <x:v>1</x:v>
      </x:c>
      <x:c r="L50" s="13" t="n">
        <x:v>0.89</x:v>
      </x:c>
      <x:c r="M50" s="13" t="n">
        <x:v>0.49</x:v>
      </x:c>
      <x:c r="N50" s="12" t="str">
        <x:v>NO</x:v>
      </x:c>
      <x:c r="O50" s="12" t="str">
        <x:v>NC-FAM</x:v>
      </x:c>
      <x:c r="P50" s="14" t="str"/>
      <x:c r="Q50" s="12" t="str">
        <x:v>NC-FAM|||GAPDH</x:v>
      </x:c>
    </x:row>
    <x:row r="51">
      <x:c r="A51" s="12" t="str">
        <x:v>C2</x:v>
      </x:c>
      <x:c r="B51" s="12" t="str">
        <x:v>C</x:v>
      </x:c>
      <x:c r="C51" s="12" t="n">
        <x:v>2</x:v>
      </x:c>
      <x:c r="D51" s="12" t="str">
        <x:v>NC-FAM</x:v>
      </x:c>
      <x:c r="E51" s="12" t="str">
        <x:v>GAPDH</x:v>
      </x:c>
      <x:c r="F51" s="12" t="str">
        <x:v>Reference</x:v>
      </x:c>
      <x:c r="G51" s="12" t="n">
        <x:v>2</x:v>
      </x:c>
      <x:c r="H51" s="13" t="n">
        <x:v>15.92</x:v>
      </x:c>
      <x:c r="I51" s="13" t="n">
        <x:v>86.01</x:v>
      </x:c>
      <x:c r="J51" s="13"/>
      <x:c r="K51" s="13" t="str">
        <x:v>1</x:v>
      </x:c>
      <x:c r="L51" s="13" t="n">
        <x:v>0.87</x:v>
      </x:c>
      <x:c r="M51" s="13" t="n">
        <x:v>0.49</x:v>
      </x:c>
      <x:c r="N51" s="12" t="str">
        <x:v>NO</x:v>
      </x:c>
      <x:c r="O51" s="12" t="str">
        <x:v>NC-FAM</x:v>
      </x:c>
      <x:c r="P51" s="14" t="str"/>
      <x:c r="Q51" s="12" t="str">
        <x:v>NC-FAM|||GAPDH</x:v>
      </x:c>
    </x:row>
    <x:row r="52">
      <x:c r="A52" s="12" t="str">
        <x:v>C3</x:v>
      </x:c>
      <x:c r="B52" s="12" t="str">
        <x:v>C</x:v>
      </x:c>
      <x:c r="C52" s="12" t="n">
        <x:v>3</x:v>
      </x:c>
      <x:c r="D52" s="12" t="str">
        <x:v>NC-FAM</x:v>
      </x:c>
      <x:c r="E52" s="12" t="str">
        <x:v>GAPDH</x:v>
      </x:c>
      <x:c r="F52" s="12" t="str">
        <x:v>Reference</x:v>
      </x:c>
      <x:c r="G52" s="12" t="n">
        <x:v>3</x:v>
      </x:c>
      <x:c r="H52" s="13" t="n">
        <x:v>15.93</x:v>
      </x:c>
      <x:c r="I52" s="13" t="n">
        <x:v>86.02</x:v>
      </x:c>
      <x:c r="J52" s="13"/>
      <x:c r="K52" s="13" t="str">
        <x:v>1</x:v>
      </x:c>
      <x:c r="L52" s="13" t="n">
        <x:v>0.87</x:v>
      </x:c>
      <x:c r="M52" s="13" t="n">
        <x:v>0.49</x:v>
      </x:c>
      <x:c r="N52" s="12" t="str">
        <x:v>NO</x:v>
      </x:c>
      <x:c r="O52" s="12" t="str">
        <x:v>NC-FAM</x:v>
      </x:c>
      <x:c r="P52" s="14" t="str"/>
      <x:c r="Q52" s="12" t="str">
        <x:v>NC-FAM|||GAPDH</x:v>
      </x:c>
    </x:row>
    <x:row r="53">
      <x:c r="A53" s="12" t="str">
        <x:v>C4</x:v>
      </x:c>
      <x:c r="B53" s="12" t="str">
        <x:v>C</x:v>
      </x:c>
      <x:c r="C53" s="12" t="n">
        <x:v>4</x:v>
      </x:c>
      <x:c r="D53" s="12" t="str">
        <x:v>NC-FAM</x:v>
      </x:c>
      <x:c r="E53" s="12" t="str">
        <x:v>GAPDH</x:v>
      </x:c>
      <x:c r="F53" s="12" t="str">
        <x:v>Reference</x:v>
      </x:c>
      <x:c r="G53" s="12" t="n">
        <x:v>4</x:v>
      </x:c>
      <x:c r="H53" s="13" t="n">
        <x:v>15.92</x:v>
      </x:c>
      <x:c r="I53" s="13" t="n">
        <x:v>86.02</x:v>
      </x:c>
      <x:c r="J53" s="13"/>
      <x:c r="K53" s="13" t="str">
        <x:v>1</x:v>
      </x:c>
      <x:c r="L53" s="13" t="n">
        <x:v>0.87</x:v>
      </x:c>
      <x:c r="M53" s="13" t="n">
        <x:v>0.49</x:v>
      </x:c>
      <x:c r="N53" s="12" t="str">
        <x:v>NO</x:v>
      </x:c>
      <x:c r="O53" s="12" t="str">
        <x:v>NC-FAM</x:v>
      </x:c>
      <x:c r="P53" s="14" t="str"/>
      <x:c r="Q53" s="12" t="str">
        <x:v>NC-FAM|||GAPDH</x:v>
      </x:c>
    </x:row>
    <x:row r="54">
      <x:c r="A54" s="12" t="str">
        <x:v>C5</x:v>
      </x:c>
      <x:c r="B54" s="12" t="str">
        <x:v>C</x:v>
      </x:c>
      <x:c r="C54" s="12" t="n">
        <x:v>5</x:v>
      </x:c>
      <x:c r="D54" s="12" t="str">
        <x:v>NC-FAM</x:v>
      </x:c>
      <x:c r="E54" s="12" t="str">
        <x:v>TBP</x:v>
      </x:c>
      <x:c r="F54" s="12" t="str">
        <x:v>Reference</x:v>
      </x:c>
      <x:c r="G54" s="12" t="n">
        <x:v>1</x:v>
      </x:c>
      <x:c r="H54" s="13" t="n">
        <x:v>24.67</x:v>
      </x:c>
      <x:c r="I54" s="13" t="n">
        <x:v>80.31</x:v>
      </x:c>
      <x:c r="J54" s="13"/>
      <x:c r="K54" s="13" t="str">
        <x:v>1</x:v>
      </x:c>
      <x:c r="L54" s="13" t="n">
        <x:v>0.98</x:v>
      </x:c>
      <x:c r="M54" s="13" t="n">
        <x:v>0.15</x:v>
      </x:c>
      <x:c r="N54" s="12" t="str">
        <x:v>NO</x:v>
      </x:c>
      <x:c r="O54" s="12" t="str">
        <x:v>NC-FAM</x:v>
      </x:c>
      <x:c r="P54" s="14" t="str"/>
      <x:c r="Q54" s="12" t="str">
        <x:v>NC-FAM|||TBP</x:v>
      </x:c>
    </x:row>
    <x:row r="55">
      <x:c r="A55" s="12" t="str">
        <x:v>C6</x:v>
      </x:c>
      <x:c r="B55" s="12" t="str">
        <x:v>C</x:v>
      </x:c>
      <x:c r="C55" s="12" t="n">
        <x:v>6</x:v>
      </x:c>
      <x:c r="D55" s="12" t="str">
        <x:v>NC-FAM</x:v>
      </x:c>
      <x:c r="E55" s="12" t="str">
        <x:v>TBP</x:v>
      </x:c>
      <x:c r="F55" s="12" t="str">
        <x:v>Reference</x:v>
      </x:c>
      <x:c r="G55" s="12" t="n">
        <x:v>2</x:v>
      </x:c>
      <x:c r="H55" s="13" t="n">
        <x:v>24.83</x:v>
      </x:c>
      <x:c r="I55" s="13" t="n">
        <x:v>80.34</x:v>
      </x:c>
      <x:c r="J55" s="13"/>
      <x:c r="K55" s="13" t="str">
        <x:v>1</x:v>
      </x:c>
      <x:c r="L55" s="13" t="n">
        <x:v>0.98</x:v>
      </x:c>
      <x:c r="M55" s="13" t="n">
        <x:v>0.15</x:v>
      </x:c>
      <x:c r="N55" s="12" t="str">
        <x:v>NO</x:v>
      </x:c>
      <x:c r="O55" s="12" t="str">
        <x:v>NC-FAM</x:v>
      </x:c>
      <x:c r="P55" s="14" t="str"/>
      <x:c r="Q55" s="12" t="str">
        <x:v>NC-FAM|||TBP</x:v>
      </x:c>
    </x:row>
    <x:row r="56">
      <x:c r="A56" s="12" t="str">
        <x:v>C7</x:v>
      </x:c>
      <x:c r="B56" s="12" t="str">
        <x:v>C</x:v>
      </x:c>
      <x:c r="C56" s="12" t="n">
        <x:v>7</x:v>
      </x:c>
      <x:c r="D56" s="12" t="str">
        <x:v>NC-FAM</x:v>
      </x:c>
      <x:c r="E56" s="12" t="str">
        <x:v>TBP</x:v>
      </x:c>
      <x:c r="F56" s="12" t="str">
        <x:v>Reference</x:v>
      </x:c>
      <x:c r="G56" s="12" t="n">
        <x:v>3</x:v>
      </x:c>
      <x:c r="H56" s="13" t="n">
        <x:v>24.82</x:v>
      </x:c>
      <x:c r="I56" s="13" t="n">
        <x:v>80.33</x:v>
      </x:c>
      <x:c r="J56" s="13"/>
      <x:c r="K56" s="13" t="str">
        <x:v>1</x:v>
      </x:c>
      <x:c r="L56" s="13" t="n">
        <x:v>0.97</x:v>
      </x:c>
      <x:c r="M56" s="13" t="n">
        <x:v>0.13</x:v>
      </x:c>
      <x:c r="N56" s="12" t="str">
        <x:v>NO</x:v>
      </x:c>
      <x:c r="O56" s="12" t="str">
        <x:v>NC-FAM</x:v>
      </x:c>
      <x:c r="P56" s="14" t="str"/>
      <x:c r="Q56" s="12" t="str">
        <x:v>NC-FAM|||TBP</x:v>
      </x:c>
    </x:row>
    <x:row r="57">
      <x:c r="A57" s="12" t="str">
        <x:v>C8</x:v>
      </x:c>
      <x:c r="B57" s="12" t="str">
        <x:v>C</x:v>
      </x:c>
      <x:c r="C57" s="12" t="n">
        <x:v>8</x:v>
      </x:c>
      <x:c r="D57" s="12" t="str">
        <x:v>NC-FAM</x:v>
      </x:c>
      <x:c r="E57" s="12" t="str">
        <x:v>TBP</x:v>
      </x:c>
      <x:c r="F57" s="12" t="str">
        <x:v>Reference</x:v>
      </x:c>
      <x:c r="G57" s="12" t="n">
        <x:v>4</x:v>
      </x:c>
      <x:c r="H57" s="13" t="n">
        <x:v>24.88</x:v>
      </x:c>
      <x:c r="I57" s="13" t="n">
        <x:v>80.26</x:v>
      </x:c>
      <x:c r="J57" s="13"/>
      <x:c r="K57" s="13" t="str">
        <x:v>1</x:v>
      </x:c>
      <x:c r="L57" s="13" t="n">
        <x:v>0.98</x:v>
      </x:c>
      <x:c r="M57" s="13" t="n">
        <x:v>0.16</x:v>
      </x:c>
      <x:c r="N57" s="12" t="str">
        <x:v>NO</x:v>
      </x:c>
      <x:c r="O57" s="12" t="str">
        <x:v>NC-FAM</x:v>
      </x:c>
      <x:c r="P57" s="14" t="str"/>
      <x:c r="Q57" s="12" t="str">
        <x:v>NC-FAM|||TBP</x:v>
      </x:c>
    </x:row>
    <x:row r="58">
      <x:c r="A58" s="12" t="str">
        <x:v>C9</x:v>
      </x:c>
      <x:c r="B58" s="12" t="str">
        <x:v>C</x:v>
      </x:c>
      <x:c r="C58" s="12" t="n">
        <x:v>9</x:v>
      </x:c>
      <x:c r="D58" s="12" t="str">
        <x:v>NC-FAM</x:v>
      </x:c>
      <x:c r="E58" s="12" t="str">
        <x:v>FBN2-1</x:v>
      </x:c>
      <x:c r="F58" s="12" t="str">
        <x:v>Target</x:v>
      </x:c>
      <x:c r="G58" s="12" t="n">
        <x:v>1</x:v>
      </x:c>
      <x:c r="H58" s="13" t="n">
        <x:v>23.49</x:v>
      </x:c>
      <x:c r="I58" s="13" t="n">
        <x:v>79.28</x:v>
      </x:c>
      <x:c r="J58" s="13"/>
      <x:c r="K58" s="13" t="str">
        <x:v>2</x:v>
      </x:c>
      <x:c r="L58" s="13" t="n">
        <x:v>0.97</x:v>
      </x:c>
      <x:c r="M58" s="13" t="n">
        <x:v>0.46</x:v>
      </x:c>
      <x:c r="N58" s="12" t="str">
        <x:v>NO</x:v>
      </x:c>
      <x:c r="O58" s="12" t="str">
        <x:v>NC-FAM</x:v>
      </x:c>
      <x:c r="P58" s="14" t="str"/>
      <x:c r="Q58" s="12" t="str">
        <x:v>NC-FAM|||FBN2-1</x:v>
      </x:c>
    </x:row>
    <x:row r="59">
      <x:c r="A59" s="12" t="str">
        <x:v>C10</x:v>
      </x:c>
      <x:c r="B59" s="12" t="str">
        <x:v>C</x:v>
      </x:c>
      <x:c r="C59" s="12" t="n">
        <x:v>10</x:v>
      </x:c>
      <x:c r="D59" s="12" t="str">
        <x:v>NC-FAM</x:v>
      </x:c>
      <x:c r="E59" s="12" t="str">
        <x:v>FBN2-1</x:v>
      </x:c>
      <x:c r="F59" s="12" t="str">
        <x:v>Target</x:v>
      </x:c>
      <x:c r="G59" s="12" t="n">
        <x:v>2</x:v>
      </x:c>
      <x:c r="H59" s="13" t="n">
        <x:v>23.52</x:v>
      </x:c>
      <x:c r="I59" s="13" t="n">
        <x:v>79.37</x:v>
      </x:c>
      <x:c r="J59" s="13"/>
      <x:c r="K59" s="13" t="str">
        <x:v>2</x:v>
      </x:c>
      <x:c r="L59" s="13" t="n">
        <x:v>0.95</x:v>
      </x:c>
      <x:c r="M59" s="13" t="n">
        <x:v>0.43</x:v>
      </x:c>
      <x:c r="N59" s="12" t="str">
        <x:v>NO</x:v>
      </x:c>
      <x:c r="O59" s="12" t="str">
        <x:v>NC-FAM</x:v>
      </x:c>
      <x:c r="P59" s="14" t="str">
        <x:v>列10：修正板图备注‘可能加了两遍cDNA’，范围需实验记录确认</x:v>
      </x:c>
      <x:c r="Q59" s="12" t="str">
        <x:v>NC-FAM|||FBN2-1</x:v>
      </x:c>
    </x:row>
    <x:row r="60">
      <x:c r="A60" s="12" t="str">
        <x:v>C11</x:v>
      </x:c>
      <x:c r="B60" s="12" t="str">
        <x:v>C</x:v>
      </x:c>
      <x:c r="C60" s="12" t="n">
        <x:v>11</x:v>
      </x:c>
      <x:c r="D60" s="12" t="str">
        <x:v>NC-FAM</x:v>
      </x:c>
      <x:c r="E60" s="12" t="str">
        <x:v>FBN2-1</x:v>
      </x:c>
      <x:c r="F60" s="12" t="str">
        <x:v>Target</x:v>
      </x:c>
      <x:c r="G60" s="12" t="n">
        <x:v>3</x:v>
      </x:c>
      <x:c r="H60" s="13" t="n">
        <x:v>23.48</x:v>
      </x:c>
      <x:c r="I60" s="13" t="n">
        <x:v>79.37</x:v>
      </x:c>
      <x:c r="J60" s="13"/>
      <x:c r="K60" s="13" t="str">
        <x:v>2</x:v>
      </x:c>
      <x:c r="L60" s="13" t="n">
        <x:v>0.95</x:v>
      </x:c>
      <x:c r="M60" s="13" t="n">
        <x:v>0.43</x:v>
      </x:c>
      <x:c r="N60" s="12" t="str">
        <x:v>NO</x:v>
      </x:c>
      <x:c r="O60" s="12" t="str">
        <x:v>NC-FAM</x:v>
      </x:c>
      <x:c r="P60" s="14" t="str"/>
      <x:c r="Q60" s="12" t="str">
        <x:v>NC-FAM|||FBN2-1</x:v>
      </x:c>
    </x:row>
    <x:row r="61">
      <x:c r="A61" s="12" t="str">
        <x:v>C12</x:v>
      </x:c>
      <x:c r="B61" s="12" t="str">
        <x:v>C</x:v>
      </x:c>
      <x:c r="C61" s="12" t="n">
        <x:v>12</x:v>
      </x:c>
      <x:c r="D61" s="12" t="str">
        <x:v>NC-FAM</x:v>
      </x:c>
      <x:c r="E61" s="12" t="str">
        <x:v>FBN2-1</x:v>
      </x:c>
      <x:c r="F61" s="12" t="str">
        <x:v>Target</x:v>
      </x:c>
      <x:c r="G61" s="12" t="n">
        <x:v>4</x:v>
      </x:c>
      <x:c r="H61" s="13" t="n">
        <x:v>23.53</x:v>
      </x:c>
      <x:c r="I61" s="13" t="n">
        <x:v>79.33</x:v>
      </x:c>
      <x:c r="J61" s="13"/>
      <x:c r="K61" s="13" t="str">
        <x:v>2</x:v>
      </x:c>
      <x:c r="L61" s="13" t="n">
        <x:v>0.95</x:v>
      </x:c>
      <x:c r="M61" s="13" t="n">
        <x:v>0.45</x:v>
      </x:c>
      <x:c r="N61" s="12" t="str">
        <x:v>NO</x:v>
      </x:c>
      <x:c r="O61" s="12" t="str">
        <x:v>NC-FAM</x:v>
      </x:c>
      <x:c r="P61" s="14" t="str"/>
      <x:c r="Q61" s="12" t="str">
        <x:v>NC-FAM|||FBN2-1</x:v>
      </x:c>
    </x:row>
    <x:row r="62">
      <x:c r="A62" s="12" t="str">
        <x:v>C13</x:v>
      </x:c>
      <x:c r="B62" s="12" t="str">
        <x:v>C</x:v>
      </x:c>
      <x:c r="C62" s="12" t="n">
        <x:v>13</x:v>
      </x:c>
      <x:c r="D62" s="12" t="str">
        <x:v>NC-FAM</x:v>
      </x:c>
      <x:c r="E62" s="12" t="str">
        <x:v>FBN2-2</x:v>
      </x:c>
      <x:c r="F62" s="12" t="str">
        <x:v>Target</x:v>
      </x:c>
      <x:c r="G62" s="12" t="n">
        <x:v>1</x:v>
      </x:c>
      <x:c r="H62" s="13" t="n">
        <x:v>23.48</x:v>
      </x:c>
      <x:c r="I62" s="13" t="n">
        <x:v>83.71</x:v>
      </x:c>
      <x:c r="J62" s="13"/>
      <x:c r="K62" s="13" t="str">
        <x:v>1</x:v>
      </x:c>
      <x:c r="L62" s="13" t="n">
        <x:v>0.94</x:v>
      </x:c>
      <x:c r="M62" s="13" t="n">
        <x:v>0.54</x:v>
      </x:c>
      <x:c r="N62" s="12" t="str">
        <x:v>NO</x:v>
      </x:c>
      <x:c r="O62" s="12" t="str">
        <x:v>NC-FAM</x:v>
      </x:c>
      <x:c r="P62" s="14" t="str"/>
      <x:c r="Q62" s="12" t="str">
        <x:v>NC-FAM|||FBN2-2</x:v>
      </x:c>
    </x:row>
    <x:row r="63">
      <x:c r="A63" s="12" t="str">
        <x:v>C14</x:v>
      </x:c>
      <x:c r="B63" s="12" t="str">
        <x:v>C</x:v>
      </x:c>
      <x:c r="C63" s="12" t="n">
        <x:v>14</x:v>
      </x:c>
      <x:c r="D63" s="12" t="str">
        <x:v>siFBN2-1</x:v>
      </x:c>
      <x:c r="E63" s="12" t="str">
        <x:v>FBN2-2</x:v>
      </x:c>
      <x:c r="F63" s="12" t="str">
        <x:v>Target</x:v>
      </x:c>
      <x:c r="G63" s="12" t="n">
        <x:v>2</x:v>
      </x:c>
      <x:c r="H63" s="13" t="n">
        <x:v>23.77</x:v>
      </x:c>
      <x:c r="I63" s="13" t="n">
        <x:v>83.75</x:v>
      </x:c>
      <x:c r="J63" s="13"/>
      <x:c r="K63" s="13" t="str">
        <x:v>1</x:v>
      </x:c>
      <x:c r="L63" s="13" t="n">
        <x:v>0.94</x:v>
      </x:c>
      <x:c r="M63" s="13" t="n">
        <x:v>0.54</x:v>
      </x:c>
      <x:c r="N63" s="12" t="str">
        <x:v>YES</x:v>
      </x:c>
      <x:c r="O63" s="12" t="str">
        <x:v>NC-FAM</x:v>
      </x:c>
      <x:c r="P63" s="14" t="str">
        <x:v>列14：cDNA样本整体向上错位一位，已按修正板图重映射</x:v>
      </x:c>
      <x:c r="Q63" s="12" t="str">
        <x:v>siFBN2-1|||FBN2-2</x:v>
      </x:c>
    </x:row>
    <x:row r="64">
      <x:c r="A64" s="12" t="str">
        <x:v>C15</x:v>
      </x:c>
      <x:c r="B64" s="12" t="str">
        <x:v>C</x:v>
      </x:c>
      <x:c r="C64" s="12" t="n">
        <x:v>15</x:v>
      </x:c>
      <x:c r="D64" s="12" t="str">
        <x:v>NC-FAM</x:v>
      </x:c>
      <x:c r="E64" s="12" t="str">
        <x:v>FBN2-2</x:v>
      </x:c>
      <x:c r="F64" s="12" t="str">
        <x:v>Target</x:v>
      </x:c>
      <x:c r="G64" s="12" t="n">
        <x:v>3</x:v>
      </x:c>
      <x:c r="H64" s="13" t="n">
        <x:v>23.6</x:v>
      </x:c>
      <x:c r="I64" s="13" t="n">
        <x:v>83.81</x:v>
      </x:c>
      <x:c r="J64" s="13"/>
      <x:c r="K64" s="13" t="str">
        <x:v>1</x:v>
      </x:c>
      <x:c r="L64" s="13" t="n">
        <x:v>0.93</x:v>
      </x:c>
      <x:c r="M64" s="13" t="n">
        <x:v>0.54</x:v>
      </x:c>
      <x:c r="N64" s="12" t="str">
        <x:v>NO</x:v>
      </x:c>
      <x:c r="O64" s="12" t="str">
        <x:v>NC-FAM</x:v>
      </x:c>
      <x:c r="P64" s="14" t="str"/>
      <x:c r="Q64" s="12" t="str">
        <x:v>NC-FAM|||FBN2-2</x:v>
      </x:c>
    </x:row>
    <x:row r="65">
      <x:c r="A65" s="12" t="str">
        <x:v>C16</x:v>
      </x:c>
      <x:c r="B65" s="12" t="str">
        <x:v>C</x:v>
      </x:c>
      <x:c r="C65" s="12" t="n">
        <x:v>16</x:v>
      </x:c>
      <x:c r="D65" s="12" t="str">
        <x:v>NC-FAM</x:v>
      </x:c>
      <x:c r="E65" s="12" t="str">
        <x:v>FBN2-2</x:v>
      </x:c>
      <x:c r="F65" s="12" t="str">
        <x:v>Target</x:v>
      </x:c>
      <x:c r="G65" s="12" t="n">
        <x:v>4</x:v>
      </x:c>
      <x:c r="H65" s="13" t="n">
        <x:v>23.51</x:v>
      </x:c>
      <x:c r="I65" s="13" t="n">
        <x:v>83.86</x:v>
      </x:c>
      <x:c r="J65" s="13"/>
      <x:c r="K65" s="13" t="str">
        <x:v>1</x:v>
      </x:c>
      <x:c r="L65" s="13" t="n">
        <x:v>0.94</x:v>
      </x:c>
      <x:c r="M65" s="13" t="n">
        <x:v>0.54</x:v>
      </x:c>
      <x:c r="N65" s="12" t="str">
        <x:v>NO</x:v>
      </x:c>
      <x:c r="O65" s="12" t="str">
        <x:v>NC-FAM</x:v>
      </x:c>
      <x:c r="P65" s="14" t="str"/>
      <x:c r="Q65" s="12" t="str">
        <x:v>NC-FAM|||FBN2-2</x:v>
      </x:c>
    </x:row>
    <x:row r="66">
      <x:c r="A66" s="12" t="str">
        <x:v>C17</x:v>
      </x:c>
      <x:c r="B66" s="12" t="str">
        <x:v>C</x:v>
      </x:c>
      <x:c r="C66" s="12" t="n">
        <x:v>17</x:v>
      </x:c>
      <x:c r="D66" s="12" t="str">
        <x:v>NC-FAM</x:v>
      </x:c>
      <x:c r="E66" s="12" t="str">
        <x:v>ZNF436-1</x:v>
      </x:c>
      <x:c r="F66" s="12" t="str">
        <x:v>Target</x:v>
      </x:c>
      <x:c r="G66" s="12" t="n">
        <x:v>1</x:v>
      </x:c>
      <x:c r="H66" s="13" t="n">
        <x:v>27.03</x:v>
      </x:c>
      <x:c r="I66" s="13" t="n">
        <x:v>77.85</x:v>
      </x:c>
      <x:c r="J66" s="13"/>
      <x:c r="K66" s="13" t="str">
        <x:v>2</x:v>
      </x:c>
      <x:c r="L66" s="13" t="n">
        <x:v>0.98</x:v>
      </x:c>
      <x:c r="M66" s="13" t="n">
        <x:v>0.78</x:v>
      </x:c>
      <x:c r="N66" s="12" t="str">
        <x:v>NO</x:v>
      </x:c>
      <x:c r="O66" s="12" t="str">
        <x:v>NC-FAM</x:v>
      </x:c>
      <x:c r="P66" s="14" t="str"/>
      <x:c r="Q66" s="12" t="str">
        <x:v>NC-FAM|||ZNF436-1</x:v>
      </x:c>
    </x:row>
    <x:row r="67">
      <x:c r="A67" s="12" t="str">
        <x:v>C18</x:v>
      </x:c>
      <x:c r="B67" s="12" t="str">
        <x:v>C</x:v>
      </x:c>
      <x:c r="C67" s="12" t="n">
        <x:v>18</x:v>
      </x:c>
      <x:c r="D67" s="12" t="str">
        <x:v>NC-FAM</x:v>
      </x:c>
      <x:c r="E67" s="12" t="str">
        <x:v>ZNF436-1</x:v>
      </x:c>
      <x:c r="F67" s="12" t="str">
        <x:v>Target</x:v>
      </x:c>
      <x:c r="G67" s="12" t="n">
        <x:v>2</x:v>
      </x:c>
      <x:c r="H67" s="13" t="n">
        <x:v>27.04</x:v>
      </x:c>
      <x:c r="I67" s="13" t="n">
        <x:v>77.94</x:v>
      </x:c>
      <x:c r="J67" s="13"/>
      <x:c r="K67" s="13" t="str">
        <x:v>2</x:v>
      </x:c>
      <x:c r="L67" s="13" t="n">
        <x:v>0.98</x:v>
      </x:c>
      <x:c r="M67" s="13" t="n">
        <x:v>0.78</x:v>
      </x:c>
      <x:c r="N67" s="12" t="str">
        <x:v>NO</x:v>
      </x:c>
      <x:c r="O67" s="12" t="str">
        <x:v>NC-FAM</x:v>
      </x:c>
      <x:c r="P67" s="14" t="str"/>
      <x:c r="Q67" s="12" t="str">
        <x:v>NC-FAM|||ZNF436-1</x:v>
      </x:c>
    </x:row>
    <x:row r="68">
      <x:c r="A68" s="12" t="str">
        <x:v>C19</x:v>
      </x:c>
      <x:c r="B68" s="12" t="str">
        <x:v>C</x:v>
      </x:c>
      <x:c r="C68" s="12" t="n">
        <x:v>19</x:v>
      </x:c>
      <x:c r="D68" s="12" t="str">
        <x:v>NC-FAM</x:v>
      </x:c>
      <x:c r="E68" s="12" t="str">
        <x:v>ZNF436-1</x:v>
      </x:c>
      <x:c r="F68" s="12" t="str">
        <x:v>Target</x:v>
      </x:c>
      <x:c r="G68" s="12" t="n">
        <x:v>3</x:v>
      </x:c>
      <x:c r="H68" s="13" t="n">
        <x:v>27.28</x:v>
      </x:c>
      <x:c r="I68" s="13" t="n">
        <x:v>78</x:v>
      </x:c>
      <x:c r="J68" s="13"/>
      <x:c r="K68" s="13" t="str">
        <x:v>2</x:v>
      </x:c>
      <x:c r="L68" s="13" t="n">
        <x:v>0.99</x:v>
      </x:c>
      <x:c r="M68" s="13" t="n">
        <x:v>0.77</x:v>
      </x:c>
      <x:c r="N68" s="12" t="str">
        <x:v>NO</x:v>
      </x:c>
      <x:c r="O68" s="12" t="str">
        <x:v>NC-FAM</x:v>
      </x:c>
      <x:c r="P68" s="14" t="str"/>
      <x:c r="Q68" s="12" t="str">
        <x:v>NC-FAM|||ZNF436-1</x:v>
      </x:c>
    </x:row>
    <x:row r="69">
      <x:c r="A69" s="12" t="str">
        <x:v>C20</x:v>
      </x:c>
      <x:c r="B69" s="12" t="str">
        <x:v>C</x:v>
      </x:c>
      <x:c r="C69" s="12" t="n">
        <x:v>20</x:v>
      </x:c>
      <x:c r="D69" s="12" t="str">
        <x:v>NC-FAM</x:v>
      </x:c>
      <x:c r="E69" s="12" t="str">
        <x:v>ZNF436-1</x:v>
      </x:c>
      <x:c r="F69" s="12" t="str">
        <x:v>Target</x:v>
      </x:c>
      <x:c r="G69" s="12" t="n">
        <x:v>4</x:v>
      </x:c>
      <x:c r="H69" s="13" t="n">
        <x:v>27.33</x:v>
      </x:c>
      <x:c r="I69" s="13" t="n">
        <x:v>77.94</x:v>
      </x:c>
      <x:c r="J69" s="13"/>
      <x:c r="K69" s="13" t="str">
        <x:v>2</x:v>
      </x:c>
      <x:c r="L69" s="13" t="n">
        <x:v>0.98</x:v>
      </x:c>
      <x:c r="M69" s="13" t="n">
        <x:v>0.76</x:v>
      </x:c>
      <x:c r="N69" s="12" t="str">
        <x:v>NO</x:v>
      </x:c>
      <x:c r="O69" s="12" t="str">
        <x:v>NC-FAM</x:v>
      </x:c>
      <x:c r="P69" s="14" t="str"/>
      <x:c r="Q69" s="12" t="str">
        <x:v>NC-FAM|||ZNF436-1</x:v>
      </x:c>
    </x:row>
    <x:row r="70">
      <x:c r="A70" s="12" t="str">
        <x:v>C21</x:v>
      </x:c>
      <x:c r="B70" s="12" t="str">
        <x:v>C</x:v>
      </x:c>
      <x:c r="C70" s="12" t="n">
        <x:v>21</x:v>
      </x:c>
      <x:c r="D70" s="12" t="str">
        <x:v>NC-FAM</x:v>
      </x:c>
      <x:c r="E70" s="12" t="str">
        <x:v>ZNF436-2</x:v>
      </x:c>
      <x:c r="F70" s="12" t="str">
        <x:v>Target</x:v>
      </x:c>
      <x:c r="G70" s="12" t="n">
        <x:v>1</x:v>
      </x:c>
      <x:c r="H70" s="13" t="n">
        <x:v>26.84</x:v>
      </x:c>
      <x:c r="I70" s="13" t="n">
        <x:v>73.48</x:v>
      </x:c>
      <x:c r="J70" s="13"/>
      <x:c r="K70" s="13" t="str">
        <x:v>3</x:v>
      </x:c>
      <x:c r="L70" s="13" t="n">
        <x:v>0.8</x:v>
      </x:c>
      <x:c r="M70" s="13" t="n">
        <x:v>0.76</x:v>
      </x:c>
      <x:c r="N70" s="12" t="str">
        <x:v>NO</x:v>
      </x:c>
      <x:c r="O70" s="12" t="str">
        <x:v>NC-FAM</x:v>
      </x:c>
      <x:c r="P70" s="14" t="str"/>
      <x:c r="Q70" s="12" t="str">
        <x:v>NC-FAM|||ZNF436-2</x:v>
      </x:c>
    </x:row>
    <x:row r="71">
      <x:c r="A71" s="12" t="str">
        <x:v>C22</x:v>
      </x:c>
      <x:c r="B71" s="12" t="str">
        <x:v>C</x:v>
      </x:c>
      <x:c r="C71" s="12" t="n">
        <x:v>22</x:v>
      </x:c>
      <x:c r="D71" s="12" t="str">
        <x:v>NC-FAM</x:v>
      </x:c>
      <x:c r="E71" s="12" t="str">
        <x:v>ZNF436-2</x:v>
      </x:c>
      <x:c r="F71" s="12" t="str">
        <x:v>Target</x:v>
      </x:c>
      <x:c r="G71" s="12" t="n">
        <x:v>2</x:v>
      </x:c>
      <x:c r="H71" s="13" t="n">
        <x:v>26.73</x:v>
      </x:c>
      <x:c r="I71" s="13" t="n">
        <x:v>74.19</x:v>
      </x:c>
      <x:c r="J71" s="13"/>
      <x:c r="K71" s="13" t="str">
        <x:v>Unknown</x:v>
      </x:c>
      <x:c r="L71" s="13" t="n">
        <x:v>0.69</x:v>
      </x:c>
      <x:c r="M71" s="13" t="n">
        <x:v>0.57</x:v>
      </x:c>
      <x:c r="N71" s="12" t="str">
        <x:v>NO</x:v>
      </x:c>
      <x:c r="O71" s="12" t="str">
        <x:v>NC-FAM</x:v>
      </x:c>
      <x:c r="P71" s="14" t="str"/>
      <x:c r="Q71" s="12" t="str">
        <x:v>NC-FAM|||ZNF436-2</x:v>
      </x:c>
    </x:row>
    <x:row r="72">
      <x:c r="A72" s="12" t="str">
        <x:v>C23</x:v>
      </x:c>
      <x:c r="B72" s="12" t="str">
        <x:v>C</x:v>
      </x:c>
      <x:c r="C72" s="12" t="n">
        <x:v>23</x:v>
      </x:c>
      <x:c r="D72" s="12" t="str">
        <x:v>NC-FAM</x:v>
      </x:c>
      <x:c r="E72" s="12" t="str">
        <x:v>ZNF436-2</x:v>
      </x:c>
      <x:c r="F72" s="12" t="str">
        <x:v>Target</x:v>
      </x:c>
      <x:c r="G72" s="12" t="n">
        <x:v>3</x:v>
      </x:c>
      <x:c r="H72" s="13" t="n">
        <x:v>26.8</x:v>
      </x:c>
      <x:c r="I72" s="13" t="n">
        <x:v>73.8</x:v>
      </x:c>
      <x:c r="J72" s="13"/>
      <x:c r="K72" s="13" t="str">
        <x:v>3</x:v>
      </x:c>
      <x:c r="L72" s="13" t="n">
        <x:v>0.74</x:v>
      </x:c>
      <x:c r="M72" s="13" t="n">
        <x:v>0.67</x:v>
      </x:c>
      <x:c r="N72" s="12" t="str">
        <x:v>NO</x:v>
      </x:c>
      <x:c r="O72" s="12" t="str">
        <x:v>NC-FAM</x:v>
      </x:c>
      <x:c r="P72" s="14" t="str"/>
      <x:c r="Q72" s="12" t="str">
        <x:v>NC-FAM|||ZNF436-2</x:v>
      </x:c>
    </x:row>
    <x:row r="73">
      <x:c r="A73" s="12" t="str">
        <x:v>C24</x:v>
      </x:c>
      <x:c r="B73" s="12" t="str">
        <x:v>C</x:v>
      </x:c>
      <x:c r="C73" s="12" t="n">
        <x:v>24</x:v>
      </x:c>
      <x:c r="D73" s="12" t="str">
        <x:v>NC-FAM</x:v>
      </x:c>
      <x:c r="E73" s="12" t="str">
        <x:v>ZNF436-2</x:v>
      </x:c>
      <x:c r="F73" s="12" t="str">
        <x:v>Target</x:v>
      </x:c>
      <x:c r="G73" s="12" t="n">
        <x:v>4</x:v>
      </x:c>
      <x:c r="H73" s="13" t="n">
        <x:v>26.75</x:v>
      </x:c>
      <x:c r="I73" s="13" t="n">
        <x:v>74.04</x:v>
      </x:c>
      <x:c r="J73" s="13"/>
      <x:c r="K73" s="13" t="str">
        <x:v>3</x:v>
      </x:c>
      <x:c r="L73" s="13" t="n">
        <x:v>0.72</x:v>
      </x:c>
      <x:c r="M73" s="13" t="n">
        <x:v>0.61</x:v>
      </x:c>
      <x:c r="N73" s="12" t="str">
        <x:v>NO</x:v>
      </x:c>
      <x:c r="O73" s="12" t="str">
        <x:v>NC-FAM</x:v>
      </x:c>
      <x:c r="P73" s="14" t="str"/>
      <x:c r="Q73" s="12" t="str">
        <x:v>NC-FAM|||ZNF436-2</x:v>
      </x:c>
    </x:row>
    <x:row r="74">
      <x:c r="A74" s="12" t="str">
        <x:v>D1</x:v>
      </x:c>
      <x:c r="B74" s="12" t="str">
        <x:v>D</x:v>
      </x:c>
      <x:c r="C74" s="12" t="n">
        <x:v>1</x:v>
      </x:c>
      <x:c r="D74" s="12" t="str">
        <x:v>siZNF436-4</x:v>
      </x:c>
      <x:c r="E74" s="12" t="str">
        <x:v>GAPDH</x:v>
      </x:c>
      <x:c r="F74" s="12" t="str">
        <x:v>Reference</x:v>
      </x:c>
      <x:c r="G74" s="12" t="n">
        <x:v>1</x:v>
      </x:c>
      <x:c r="H74" s="13" t="n">
        <x:v>16.83</x:v>
      </x:c>
      <x:c r="I74" s="13" t="n">
        <x:v>85.92</x:v>
      </x:c>
      <x:c r="J74" s="13"/>
      <x:c r="K74" s="13" t="str">
        <x:v>1</x:v>
      </x:c>
      <x:c r="L74" s="13" t="n">
        <x:v>0.87</x:v>
      </x:c>
      <x:c r="M74" s="13" t="n">
        <x:v>0.5</x:v>
      </x:c>
      <x:c r="N74" s="12" t="str">
        <x:v>NO</x:v>
      </x:c>
      <x:c r="O74" s="12" t="str">
        <x:v>siZNF436-4</x:v>
      </x:c>
      <x:c r="P74" s="14" t="str"/>
      <x:c r="Q74" s="12" t="str">
        <x:v>siZNF436-4|||GAPDH</x:v>
      </x:c>
    </x:row>
    <x:row r="75">
      <x:c r="A75" s="12" t="str">
        <x:v>D2</x:v>
      </x:c>
      <x:c r="B75" s="12" t="str">
        <x:v>D</x:v>
      </x:c>
      <x:c r="C75" s="12" t="n">
        <x:v>2</x:v>
      </x:c>
      <x:c r="D75" s="12" t="str">
        <x:v>siZNF436-4</x:v>
      </x:c>
      <x:c r="E75" s="12" t="str">
        <x:v>GAPDH</x:v>
      </x:c>
      <x:c r="F75" s="12" t="str">
        <x:v>Reference</x:v>
      </x:c>
      <x:c r="G75" s="12" t="n">
        <x:v>2</x:v>
      </x:c>
      <x:c r="H75" s="13" t="n">
        <x:v>16.83</x:v>
      </x:c>
      <x:c r="I75" s="13" t="n">
        <x:v>85.93</x:v>
      </x:c>
      <x:c r="J75" s="13"/>
      <x:c r="K75" s="13" t="str">
        <x:v>1</x:v>
      </x:c>
      <x:c r="L75" s="13" t="n">
        <x:v>0.89</x:v>
      </x:c>
      <x:c r="M75" s="13" t="n">
        <x:v>0.5</x:v>
      </x:c>
      <x:c r="N75" s="12" t="str">
        <x:v>NO</x:v>
      </x:c>
      <x:c r="O75" s="12" t="str">
        <x:v>siZNF436-4</x:v>
      </x:c>
      <x:c r="P75" s="14" t="str"/>
      <x:c r="Q75" s="12" t="str">
        <x:v>siZNF436-4|||GAPDH</x:v>
      </x:c>
    </x:row>
    <x:row r="76">
      <x:c r="A76" s="12" t="str">
        <x:v>D3</x:v>
      </x:c>
      <x:c r="B76" s="12" t="str">
        <x:v>D</x:v>
      </x:c>
      <x:c r="C76" s="12" t="n">
        <x:v>3</x:v>
      </x:c>
      <x:c r="D76" s="12" t="str">
        <x:v>siZNF436-4</x:v>
      </x:c>
      <x:c r="E76" s="12" t="str">
        <x:v>GAPDH</x:v>
      </x:c>
      <x:c r="F76" s="12" t="str">
        <x:v>Reference</x:v>
      </x:c>
      <x:c r="G76" s="12" t="n">
        <x:v>3</x:v>
      </x:c>
      <x:c r="H76" s="13" t="n">
        <x:v>16.78</x:v>
      </x:c>
      <x:c r="I76" s="13" t="n">
        <x:v>85.89</x:v>
      </x:c>
      <x:c r="J76" s="13"/>
      <x:c r="K76" s="13" t="str">
        <x:v>1</x:v>
      </x:c>
      <x:c r="L76" s="13" t="n">
        <x:v>0.89</x:v>
      </x:c>
      <x:c r="M76" s="13" t="n">
        <x:v>0.5</x:v>
      </x:c>
      <x:c r="N76" s="12" t="str">
        <x:v>NO</x:v>
      </x:c>
      <x:c r="O76" s="12" t="str">
        <x:v>siZNF436-4</x:v>
      </x:c>
      <x:c r="P76" s="14" t="str"/>
      <x:c r="Q76" s="12" t="str">
        <x:v>siZNF436-4|||GAPDH</x:v>
      </x:c>
    </x:row>
    <x:row r="77">
      <x:c r="A77" s="12" t="str">
        <x:v>D4</x:v>
      </x:c>
      <x:c r="B77" s="12" t="str">
        <x:v>D</x:v>
      </x:c>
      <x:c r="C77" s="12" t="n">
        <x:v>4</x:v>
      </x:c>
      <x:c r="D77" s="12" t="str">
        <x:v>siZNF436-4</x:v>
      </x:c>
      <x:c r="E77" s="12" t="str">
        <x:v>GAPDH</x:v>
      </x:c>
      <x:c r="F77" s="12" t="str">
        <x:v>Reference</x:v>
      </x:c>
      <x:c r="G77" s="12" t="n">
        <x:v>4</x:v>
      </x:c>
      <x:c r="H77" s="13" t="n">
        <x:v>16.9</x:v>
      </x:c>
      <x:c r="I77" s="13" t="n">
        <x:v>85.9</x:v>
      </x:c>
      <x:c r="J77" s="13"/>
      <x:c r="K77" s="13" t="str">
        <x:v>1</x:v>
      </x:c>
      <x:c r="L77" s="13" t="n">
        <x:v>0.89</x:v>
      </x:c>
      <x:c r="M77" s="13" t="n">
        <x:v>0.5</x:v>
      </x:c>
      <x:c r="N77" s="12" t="str">
        <x:v>NO</x:v>
      </x:c>
      <x:c r="O77" s="12" t="str">
        <x:v>siZNF436-4</x:v>
      </x:c>
      <x:c r="P77" s="14" t="str"/>
      <x:c r="Q77" s="12" t="str">
        <x:v>siZNF436-4|||GAPDH</x:v>
      </x:c>
    </x:row>
    <x:row r="78">
      <x:c r="A78" s="12" t="str">
        <x:v>D5</x:v>
      </x:c>
      <x:c r="B78" s="12" t="str">
        <x:v>D</x:v>
      </x:c>
      <x:c r="C78" s="12" t="n">
        <x:v>5</x:v>
      </x:c>
      <x:c r="D78" s="12" t="str">
        <x:v>siZNF436-4</x:v>
      </x:c>
      <x:c r="E78" s="12" t="str">
        <x:v>TBP</x:v>
      </x:c>
      <x:c r="F78" s="12" t="str">
        <x:v>Reference</x:v>
      </x:c>
      <x:c r="G78" s="12" t="n">
        <x:v>1</x:v>
      </x:c>
      <x:c r="H78" s="13" t="n">
        <x:v>25.52</x:v>
      </x:c>
      <x:c r="I78" s="13" t="n">
        <x:v>80.19</x:v>
      </x:c>
      <x:c r="J78" s="13"/>
      <x:c r="K78" s="13" t="str">
        <x:v>1</x:v>
      </x:c>
      <x:c r="L78" s="13" t="n">
        <x:v>0.98</x:v>
      </x:c>
      <x:c r="M78" s="13" t="n">
        <x:v>0.19</x:v>
      </x:c>
      <x:c r="N78" s="12" t="str">
        <x:v>NO</x:v>
      </x:c>
      <x:c r="O78" s="12" t="str">
        <x:v>siZNF436-4</x:v>
      </x:c>
      <x:c r="P78" s="14" t="str"/>
      <x:c r="Q78" s="12" t="str">
        <x:v>siZNF436-4|||TBP</x:v>
      </x:c>
    </x:row>
    <x:row r="79">
      <x:c r="A79" s="12" t="str">
        <x:v>D6</x:v>
      </x:c>
      <x:c r="B79" s="12" t="str">
        <x:v>D</x:v>
      </x:c>
      <x:c r="C79" s="12" t="n">
        <x:v>6</x:v>
      </x:c>
      <x:c r="D79" s="12" t="str">
        <x:v>siZNF436-4</x:v>
      </x:c>
      <x:c r="E79" s="12" t="str">
        <x:v>TBP</x:v>
      </x:c>
      <x:c r="F79" s="12" t="str">
        <x:v>Reference</x:v>
      </x:c>
      <x:c r="G79" s="12" t="n">
        <x:v>2</x:v>
      </x:c>
      <x:c r="H79" s="13" t="n">
        <x:v>25.62</x:v>
      </x:c>
      <x:c r="I79" s="13" t="n">
        <x:v>80.18</x:v>
      </x:c>
      <x:c r="J79" s="13"/>
      <x:c r="K79" s="13" t="str">
        <x:v>1</x:v>
      </x:c>
      <x:c r="L79" s="13" t="n">
        <x:v>0.99</x:v>
      </x:c>
      <x:c r="M79" s="13" t="n">
        <x:v>0.21</x:v>
      </x:c>
      <x:c r="N79" s="12" t="str">
        <x:v>NO</x:v>
      </x:c>
      <x:c r="O79" s="12" t="str">
        <x:v>siZNF436-4</x:v>
      </x:c>
      <x:c r="P79" s="14" t="str"/>
      <x:c r="Q79" s="12" t="str">
        <x:v>siZNF436-4|||TBP</x:v>
      </x:c>
    </x:row>
    <x:row r="80">
      <x:c r="A80" s="12" t="str">
        <x:v>D7</x:v>
      </x:c>
      <x:c r="B80" s="12" t="str">
        <x:v>D</x:v>
      </x:c>
      <x:c r="C80" s="12" t="n">
        <x:v>7</x:v>
      </x:c>
      <x:c r="D80" s="12" t="str">
        <x:v>siZNF436-4</x:v>
      </x:c>
      <x:c r="E80" s="12" t="str">
        <x:v>TBP</x:v>
      </x:c>
      <x:c r="F80" s="12" t="str">
        <x:v>Reference</x:v>
      </x:c>
      <x:c r="G80" s="12" t="n">
        <x:v>3</x:v>
      </x:c>
      <x:c r="H80" s="13" t="n">
        <x:v>25.63</x:v>
      </x:c>
      <x:c r="I80" s="13" t="n">
        <x:v>80.25</x:v>
      </x:c>
      <x:c r="J80" s="13"/>
      <x:c r="K80" s="13" t="str">
        <x:v>1</x:v>
      </x:c>
      <x:c r="L80" s="13" t="n">
        <x:v>0.98</x:v>
      </x:c>
      <x:c r="M80" s="13" t="n">
        <x:v>0.18</x:v>
      </x:c>
      <x:c r="N80" s="12" t="str">
        <x:v>NO</x:v>
      </x:c>
      <x:c r="O80" s="12" t="str">
        <x:v>siZNF436-4</x:v>
      </x:c>
      <x:c r="P80" s="14" t="str"/>
      <x:c r="Q80" s="12" t="str">
        <x:v>siZNF436-4|||TBP</x:v>
      </x:c>
    </x:row>
    <x:row r="81">
      <x:c r="A81" s="12" t="str">
        <x:v>D8</x:v>
      </x:c>
      <x:c r="B81" s="12" t="str">
        <x:v>D</x:v>
      </x:c>
      <x:c r="C81" s="12" t="n">
        <x:v>8</x:v>
      </x:c>
      <x:c r="D81" s="12" t="str">
        <x:v>siZNF436-4</x:v>
      </x:c>
      <x:c r="E81" s="12" t="str">
        <x:v>TBP</x:v>
      </x:c>
      <x:c r="F81" s="12" t="str">
        <x:v>Reference</x:v>
      </x:c>
      <x:c r="G81" s="12" t="n">
        <x:v>4</x:v>
      </x:c>
      <x:c r="H81" s="13" t="n">
        <x:v>25.52</x:v>
      </x:c>
      <x:c r="I81" s="13" t="n">
        <x:v>80.26</x:v>
      </x:c>
      <x:c r="J81" s="13"/>
      <x:c r="K81" s="13" t="str">
        <x:v>1</x:v>
      </x:c>
      <x:c r="L81" s="13" t="n">
        <x:v>0.98</x:v>
      </x:c>
      <x:c r="M81" s="13" t="n">
        <x:v>0.18</x:v>
      </x:c>
      <x:c r="N81" s="12" t="str">
        <x:v>NO</x:v>
      </x:c>
      <x:c r="O81" s="12" t="str">
        <x:v>siZNF436-4</x:v>
      </x:c>
      <x:c r="P81" s="14" t="str"/>
      <x:c r="Q81" s="12" t="str">
        <x:v>siZNF436-4|||TBP</x:v>
      </x:c>
    </x:row>
    <x:row r="82">
      <x:c r="A82" s="12" t="str">
        <x:v>D9</x:v>
      </x:c>
      <x:c r="B82" s="12" t="str">
        <x:v>D</x:v>
      </x:c>
      <x:c r="C82" s="12" t="n">
        <x:v>9</x:v>
      </x:c>
      <x:c r="D82" s="12" t="str">
        <x:v>siZNF436-4</x:v>
      </x:c>
      <x:c r="E82" s="12" t="str">
        <x:v>FBN2-1</x:v>
      </x:c>
      <x:c r="F82" s="12" t="str">
        <x:v>Target</x:v>
      </x:c>
      <x:c r="G82" s="12" t="n">
        <x:v>1</x:v>
      </x:c>
      <x:c r="H82" s="13" t="n">
        <x:v>24.6</x:v>
      </x:c>
      <x:c r="I82" s="13" t="n">
        <x:v>79.25</x:v>
      </x:c>
      <x:c r="J82" s="13"/>
      <x:c r="K82" s="13" t="str">
        <x:v>2</x:v>
      </x:c>
      <x:c r="L82" s="13" t="n">
        <x:v>0.98</x:v>
      </x:c>
      <x:c r="M82" s="13" t="n">
        <x:v>0.45</x:v>
      </x:c>
      <x:c r="N82" s="12" t="str">
        <x:v>NO</x:v>
      </x:c>
      <x:c r="O82" s="12" t="str">
        <x:v>siZNF436-4</x:v>
      </x:c>
      <x:c r="P82" s="14" t="str"/>
      <x:c r="Q82" s="12" t="str">
        <x:v>siZNF436-4|||FBN2-1</x:v>
      </x:c>
    </x:row>
    <x:row r="83">
      <x:c r="A83" s="12" t="str">
        <x:v>D10</x:v>
      </x:c>
      <x:c r="B83" s="12" t="str">
        <x:v>D</x:v>
      </x:c>
      <x:c r="C83" s="12" t="n">
        <x:v>10</x:v>
      </x:c>
      <x:c r="D83" s="12" t="str">
        <x:v>siZNF436-4</x:v>
      </x:c>
      <x:c r="E83" s="12" t="str">
        <x:v>FBN2-1</x:v>
      </x:c>
      <x:c r="F83" s="12" t="str">
        <x:v>Target</x:v>
      </x:c>
      <x:c r="G83" s="12" t="n">
        <x:v>2</x:v>
      </x:c>
      <x:c r="H83" s="13" t="n">
        <x:v>23.6</x:v>
      </x:c>
      <x:c r="I83" s="13" t="n">
        <x:v>79.3</x:v>
      </x:c>
      <x:c r="J83" s="13"/>
      <x:c r="K83" s="13" t="str">
        <x:v>2</x:v>
      </x:c>
      <x:c r="L83" s="13" t="n">
        <x:v>0.96</x:v>
      </x:c>
      <x:c r="M83" s="13" t="n">
        <x:v>0.46</x:v>
      </x:c>
      <x:c r="N83" s="12" t="str">
        <x:v>NO</x:v>
      </x:c>
      <x:c r="O83" s="12" t="str">
        <x:v>siZNF436-4</x:v>
      </x:c>
      <x:c r="P83" s="14" t="str">
        <x:v>列10：修正板图备注‘可能加了两遍cDNA’，范围需实验记录确认</x:v>
      </x:c>
      <x:c r="Q83" s="12" t="str">
        <x:v>siZNF436-4|||FBN2-1</x:v>
      </x:c>
    </x:row>
    <x:row r="84">
      <x:c r="A84" s="12" t="str">
        <x:v>D11</x:v>
      </x:c>
      <x:c r="B84" s="12" t="str">
        <x:v>D</x:v>
      </x:c>
      <x:c r="C84" s="12" t="n">
        <x:v>11</x:v>
      </x:c>
      <x:c r="D84" s="12" t="str">
        <x:v>siZNF436-4</x:v>
      </x:c>
      <x:c r="E84" s="12" t="str">
        <x:v>FBN2-1</x:v>
      </x:c>
      <x:c r="F84" s="12" t="str">
        <x:v>Target</x:v>
      </x:c>
      <x:c r="G84" s="12" t="n">
        <x:v>3</x:v>
      </x:c>
      <x:c r="H84" s="13" t="n">
        <x:v>24.57</x:v>
      </x:c>
      <x:c r="I84" s="13" t="n">
        <x:v>79.26</x:v>
      </x:c>
      <x:c r="J84" s="13"/>
      <x:c r="K84" s="13" t="str">
        <x:v>2</x:v>
      </x:c>
      <x:c r="L84" s="13" t="n">
        <x:v>0.97</x:v>
      </x:c>
      <x:c r="M84" s="13" t="n">
        <x:v>0.46</x:v>
      </x:c>
      <x:c r="N84" s="12" t="str">
        <x:v>NO</x:v>
      </x:c>
      <x:c r="O84" s="12" t="str">
        <x:v>siZNF436-4</x:v>
      </x:c>
      <x:c r="P84" s="14" t="str"/>
      <x:c r="Q84" s="12" t="str">
        <x:v>siZNF436-4|||FBN2-1</x:v>
      </x:c>
    </x:row>
    <x:row r="85">
      <x:c r="A85" s="12" t="str">
        <x:v>D12</x:v>
      </x:c>
      <x:c r="B85" s="12" t="str">
        <x:v>D</x:v>
      </x:c>
      <x:c r="C85" s="12" t="n">
        <x:v>12</x:v>
      </x:c>
      <x:c r="D85" s="12" t="str">
        <x:v>siZNF436-4</x:v>
      </x:c>
      <x:c r="E85" s="12" t="str">
        <x:v>FBN2-1</x:v>
      </x:c>
      <x:c r="F85" s="12" t="str">
        <x:v>Target</x:v>
      </x:c>
      <x:c r="G85" s="12" t="n">
        <x:v>4</x:v>
      </x:c>
      <x:c r="H85" s="13" t="n">
        <x:v>24.29</x:v>
      </x:c>
      <x:c r="I85" s="13" t="n">
        <x:v>79.32</x:v>
      </x:c>
      <x:c r="J85" s="13"/>
      <x:c r="K85" s="13" t="str">
        <x:v>2</x:v>
      </x:c>
      <x:c r="L85" s="13" t="n">
        <x:v>0.98</x:v>
      </x:c>
      <x:c r="M85" s="13" t="n">
        <x:v>0.44</x:v>
      </x:c>
      <x:c r="N85" s="12" t="str">
        <x:v>NO</x:v>
      </x:c>
      <x:c r="O85" s="12" t="str">
        <x:v>siZNF436-4</x:v>
      </x:c>
      <x:c r="P85" s="14" t="str"/>
      <x:c r="Q85" s="12" t="str">
        <x:v>siZNF436-4|||FBN2-1</x:v>
      </x:c>
    </x:row>
    <x:row r="86">
      <x:c r="A86" s="12" t="str">
        <x:v>D13</x:v>
      </x:c>
      <x:c r="B86" s="12" t="str">
        <x:v>D</x:v>
      </x:c>
      <x:c r="C86" s="12" t="n">
        <x:v>13</x:v>
      </x:c>
      <x:c r="D86" s="12" t="str">
        <x:v>siZNF436-4</x:v>
      </x:c>
      <x:c r="E86" s="12" t="str">
        <x:v>FBN2-2</x:v>
      </x:c>
      <x:c r="F86" s="12" t="str">
        <x:v>Target</x:v>
      </x:c>
      <x:c r="G86" s="12" t="n">
        <x:v>1</x:v>
      </x:c>
      <x:c r="H86" s="13" t="n">
        <x:v>24.71</x:v>
      </x:c>
      <x:c r="I86" s="13" t="n">
        <x:v>83.53</x:v>
      </x:c>
      <x:c r="J86" s="13"/>
      <x:c r="K86" s="13" t="str">
        <x:v>1</x:v>
      </x:c>
      <x:c r="L86" s="13" t="n">
        <x:v>0.98</x:v>
      </x:c>
      <x:c r="M86" s="13" t="n">
        <x:v>0.32</x:v>
      </x:c>
      <x:c r="N86" s="12" t="str">
        <x:v>NO</x:v>
      </x:c>
      <x:c r="O86" s="12" t="str">
        <x:v>siZNF436-4</x:v>
      </x:c>
      <x:c r="P86" s="14" t="str"/>
      <x:c r="Q86" s="12" t="str">
        <x:v>siZNF436-4|||FBN2-2</x:v>
      </x:c>
    </x:row>
    <x:row r="87">
      <x:c r="A87" s="12" t="str">
        <x:v>D14</x:v>
      </x:c>
      <x:c r="B87" s="12" t="str">
        <x:v>D</x:v>
      </x:c>
      <x:c r="C87" s="12" t="n">
        <x:v>14</x:v>
      </x:c>
      <x:c r="D87" s="12" t="str">
        <x:v>siZNF436-4</x:v>
      </x:c>
      <x:c r="E87" s="12" t="str">
        <x:v>FBN2-2</x:v>
      </x:c>
      <x:c r="F87" s="12" t="str">
        <x:v>Target</x:v>
      </x:c>
      <x:c r="G87" s="12" t="n">
        <x:v>2</x:v>
      </x:c>
      <x:c r="H87" s="13" t="n">
        <x:v>24.76</x:v>
      </x:c>
      <x:c r="I87" s="13" t="n">
        <x:v>83.59</x:v>
      </x:c>
      <x:c r="J87" s="13"/>
      <x:c r="K87" s="13" t="str">
        <x:v>1</x:v>
      </x:c>
      <x:c r="L87" s="13" t="n">
        <x:v>0.98</x:v>
      </x:c>
      <x:c r="M87" s="13" t="n">
        <x:v>0.33</x:v>
      </x:c>
      <x:c r="N87" s="12" t="str">
        <x:v>NO</x:v>
      </x:c>
      <x:c r="O87" s="12" t="str">
        <x:v>siZNF436-4</x:v>
      </x:c>
      <x:c r="P87" s="14" t="str">
        <x:v>列14：cDNA样本整体向上错位一位，已按修正板图重映射</x:v>
      </x:c>
      <x:c r="Q87" s="12" t="str">
        <x:v>siZNF436-4|||FBN2-2</x:v>
      </x:c>
    </x:row>
    <x:row r="88">
      <x:c r="A88" s="12" t="str">
        <x:v>D15</x:v>
      </x:c>
      <x:c r="B88" s="12" t="str">
        <x:v>D</x:v>
      </x:c>
      <x:c r="C88" s="12" t="n">
        <x:v>15</x:v>
      </x:c>
      <x:c r="D88" s="12" t="str">
        <x:v>siZNF436-4</x:v>
      </x:c>
      <x:c r="E88" s="12" t="str">
        <x:v>FBN2-2</x:v>
      </x:c>
      <x:c r="F88" s="12" t="str">
        <x:v>Target</x:v>
      </x:c>
      <x:c r="G88" s="12" t="n">
        <x:v>3</x:v>
      </x:c>
      <x:c r="H88" s="13" t="n">
        <x:v>24.78</x:v>
      </x:c>
      <x:c r="I88" s="13" t="n">
        <x:v>83.6</x:v>
      </x:c>
      <x:c r="J88" s="13"/>
      <x:c r="K88" s="13" t="str">
        <x:v>1</x:v>
      </x:c>
      <x:c r="L88" s="13" t="n">
        <x:v>1</x:v>
      </x:c>
      <x:c r="M88" s="13" t="n">
        <x:v>0.41</x:v>
      </x:c>
      <x:c r="N88" s="12" t="str">
        <x:v>NO</x:v>
      </x:c>
      <x:c r="O88" s="12" t="str">
        <x:v>siZNF436-4</x:v>
      </x:c>
      <x:c r="P88" s="14" t="str"/>
      <x:c r="Q88" s="12" t="str">
        <x:v>siZNF436-4|||FBN2-2</x:v>
      </x:c>
    </x:row>
    <x:row r="89">
      <x:c r="A89" s="12" t="str">
        <x:v>D16</x:v>
      </x:c>
      <x:c r="B89" s="12" t="str">
        <x:v>D</x:v>
      </x:c>
      <x:c r="C89" s="12" t="n">
        <x:v>16</x:v>
      </x:c>
      <x:c r="D89" s="12" t="str">
        <x:v>siZNF436-4</x:v>
      </x:c>
      <x:c r="E89" s="12" t="str">
        <x:v>FBN2-2</x:v>
      </x:c>
      <x:c r="F89" s="12" t="str">
        <x:v>Target</x:v>
      </x:c>
      <x:c r="G89" s="12" t="n">
        <x:v>4</x:v>
      </x:c>
      <x:c r="H89" s="13" t="n">
        <x:v>24.2</x:v>
      </x:c>
      <x:c r="I89" s="13" t="n">
        <x:v>83.68</x:v>
      </x:c>
      <x:c r="J89" s="13"/>
      <x:c r="K89" s="13" t="str">
        <x:v>1</x:v>
      </x:c>
      <x:c r="L89" s="13" t="n">
        <x:v>0.99</x:v>
      </x:c>
      <x:c r="M89" s="13" t="n">
        <x:v>0.4</x:v>
      </x:c>
      <x:c r="N89" s="12" t="str">
        <x:v>NO</x:v>
      </x:c>
      <x:c r="O89" s="12" t="str">
        <x:v>siZNF436-4</x:v>
      </x:c>
      <x:c r="P89" s="14" t="str"/>
      <x:c r="Q89" s="12" t="str">
        <x:v>siZNF436-4|||FBN2-2</x:v>
      </x:c>
    </x:row>
    <x:row r="90">
      <x:c r="A90" s="12" t="str">
        <x:v>D17</x:v>
      </x:c>
      <x:c r="B90" s="12" t="str">
        <x:v>D</x:v>
      </x:c>
      <x:c r="C90" s="12" t="n">
        <x:v>17</x:v>
      </x:c>
      <x:c r="D90" s="12" t="str">
        <x:v>siZNF436-4</x:v>
      </x:c>
      <x:c r="E90" s="12" t="str">
        <x:v>ZNF436-1</x:v>
      </x:c>
      <x:c r="F90" s="12" t="str">
        <x:v>Target</x:v>
      </x:c>
      <x:c r="G90" s="12" t="n">
        <x:v>1</x:v>
      </x:c>
      <x:c r="H90" s="13" t="n">
        <x:v>29.98</x:v>
      </x:c>
      <x:c r="I90" s="13" t="n">
        <x:v>77.49</x:v>
      </x:c>
      <x:c r="J90" s="13"/>
      <x:c r="K90" s="13" t="str">
        <x:v>2</x:v>
      </x:c>
      <x:c r="L90" s="13" t="n">
        <x:v>0.86</x:v>
      </x:c>
      <x:c r="M90" s="13" t="n">
        <x:v>0.26</x:v>
      </x:c>
      <x:c r="N90" s="12" t="str">
        <x:v>NO</x:v>
      </x:c>
      <x:c r="O90" s="12" t="str">
        <x:v>siZNF436-4</x:v>
      </x:c>
      <x:c r="P90" s="14" t="str"/>
      <x:c r="Q90" s="12" t="str">
        <x:v>siZNF436-4|||ZNF436-1</x:v>
      </x:c>
    </x:row>
    <x:row r="91">
      <x:c r="A91" s="12" t="str">
        <x:v>D18</x:v>
      </x:c>
      <x:c r="B91" s="12" t="str">
        <x:v>D</x:v>
      </x:c>
      <x:c r="C91" s="12" t="n">
        <x:v>18</x:v>
      </x:c>
      <x:c r="D91" s="12" t="str">
        <x:v>siZNF436-4</x:v>
      </x:c>
      <x:c r="E91" s="12" t="str">
        <x:v>ZNF436-1</x:v>
      </x:c>
      <x:c r="F91" s="12" t="str">
        <x:v>Target</x:v>
      </x:c>
      <x:c r="G91" s="12" t="n">
        <x:v>2</x:v>
      </x:c>
      <x:c r="H91" s="13" t="n">
        <x:v>30.05</x:v>
      </x:c>
      <x:c r="I91" s="13" t="n">
        <x:v>77.38</x:v>
      </x:c>
      <x:c r="J91" s="13"/>
      <x:c r="K91" s="13" t="str">
        <x:v>Unknown</x:v>
      </x:c>
      <x:c r="L91" s="13" t="n">
        <x:v>0.74</x:v>
      </x:c>
      <x:c r="M91" s="13" t="n">
        <x:v>0.01</x:v>
      </x:c>
      <x:c r="N91" s="12" t="str">
        <x:v>NO</x:v>
      </x:c>
      <x:c r="O91" s="12" t="str">
        <x:v>siZNF436-4</x:v>
      </x:c>
      <x:c r="P91" s="14" t="str"/>
      <x:c r="Q91" s="12" t="str">
        <x:v>siZNF436-4|||ZNF436-1</x:v>
      </x:c>
    </x:row>
    <x:row r="92">
      <x:c r="A92" s="12" t="str">
        <x:v>D19</x:v>
      </x:c>
      <x:c r="B92" s="12" t="str">
        <x:v>D</x:v>
      </x:c>
      <x:c r="C92" s="12" t="n">
        <x:v>19</x:v>
      </x:c>
      <x:c r="D92" s="12" t="str">
        <x:v>siZNF436-4</x:v>
      </x:c>
      <x:c r="E92" s="12" t="str">
        <x:v>ZNF436-1</x:v>
      </x:c>
      <x:c r="F92" s="12" t="str">
        <x:v>Target</x:v>
      </x:c>
      <x:c r="G92" s="12" t="n">
        <x:v>3</x:v>
      </x:c>
      <x:c r="H92" s="13" t="n">
        <x:v>29.92</x:v>
      </x:c>
      <x:c r="I92" s="13" t="n">
        <x:v>77.63</x:v>
      </x:c>
      <x:c r="J92" s="13"/>
      <x:c r="K92" s="13" t="str">
        <x:v>2</x:v>
      </x:c>
      <x:c r="L92" s="13" t="n">
        <x:v>0.86</x:v>
      </x:c>
      <x:c r="M92" s="13" t="n">
        <x:v>0.38</x:v>
      </x:c>
      <x:c r="N92" s="12" t="str">
        <x:v>NO</x:v>
      </x:c>
      <x:c r="O92" s="12" t="str">
        <x:v>siZNF436-4</x:v>
      </x:c>
      <x:c r="P92" s="14" t="str"/>
      <x:c r="Q92" s="12" t="str">
        <x:v>siZNF436-4|||ZNF436-1</x:v>
      </x:c>
    </x:row>
    <x:row r="93">
      <x:c r="A93" s="12" t="str">
        <x:v>D20</x:v>
      </x:c>
      <x:c r="B93" s="12" t="str">
        <x:v>D</x:v>
      </x:c>
      <x:c r="C93" s="12" t="n">
        <x:v>20</x:v>
      </x:c>
      <x:c r="D93" s="12" t="str">
        <x:v>siZNF436-4</x:v>
      </x:c>
      <x:c r="E93" s="12" t="str">
        <x:v>ZNF436-1</x:v>
      </x:c>
      <x:c r="F93" s="12" t="str">
        <x:v>Target</x:v>
      </x:c>
      <x:c r="G93" s="12" t="n">
        <x:v>4</x:v>
      </x:c>
      <x:c r="H93" s="13" t="n">
        <x:v>29.68</x:v>
      </x:c>
      <x:c r="I93" s="13" t="n">
        <x:v>77.55</x:v>
      </x:c>
      <x:c r="J93" s="13"/>
      <x:c r="K93" s="13" t="str">
        <x:v>2</x:v>
      </x:c>
      <x:c r="L93" s="13" t="n">
        <x:v>0.82</x:v>
      </x:c>
      <x:c r="M93" s="13" t="n">
        <x:v>0.24</x:v>
      </x:c>
      <x:c r="N93" s="12" t="str">
        <x:v>NO</x:v>
      </x:c>
      <x:c r="O93" s="12" t="str">
        <x:v>siZNF436-4</x:v>
      </x:c>
      <x:c r="P93" s="14" t="str"/>
      <x:c r="Q93" s="12" t="str">
        <x:v>siZNF436-4|||ZNF436-1</x:v>
      </x:c>
    </x:row>
    <x:row r="94">
      <x:c r="A94" s="12" t="str">
        <x:v>D21</x:v>
      </x:c>
      <x:c r="B94" s="12" t="str">
        <x:v>D</x:v>
      </x:c>
      <x:c r="C94" s="12" t="n">
        <x:v>21</x:v>
      </x:c>
      <x:c r="D94" s="12" t="str">
        <x:v>siZNF436-4</x:v>
      </x:c>
      <x:c r="E94" s="12" t="str">
        <x:v>ZNF436-2</x:v>
      </x:c>
      <x:c r="F94" s="12" t="str">
        <x:v>Target</x:v>
      </x:c>
      <x:c r="G94" s="12" t="n">
        <x:v>1</x:v>
      </x:c>
      <x:c r="H94" s="13" t="n">
        <x:v>27.03</x:v>
      </x:c>
      <x:c r="I94" s="13" t="n">
        <x:v>73.05</x:v>
      </x:c>
      <x:c r="J94" s="13"/>
      <x:c r="K94" s="13" t="str">
        <x:v>3</x:v>
      </x:c>
      <x:c r="L94" s="13" t="n">
        <x:v>0.99</x:v>
      </x:c>
      <x:c r="M94" s="13" t="n">
        <x:v>0.99</x:v>
      </x:c>
      <x:c r="N94" s="12" t="str">
        <x:v>NO</x:v>
      </x:c>
      <x:c r="O94" s="12" t="str">
        <x:v>siZNF436-4</x:v>
      </x:c>
      <x:c r="P94" s="14" t="str"/>
      <x:c r="Q94" s="12" t="str">
        <x:v>siZNF436-4|||ZNF436-2</x:v>
      </x:c>
    </x:row>
    <x:row r="95">
      <x:c r="A95" s="12" t="str">
        <x:v>D22</x:v>
      </x:c>
      <x:c r="B95" s="12" t="str">
        <x:v>D</x:v>
      </x:c>
      <x:c r="C95" s="12" t="n">
        <x:v>22</x:v>
      </x:c>
      <x:c r="D95" s="12" t="str">
        <x:v>siZNF436-4</x:v>
      </x:c>
      <x:c r="E95" s="12" t="str">
        <x:v>ZNF436-2</x:v>
      </x:c>
      <x:c r="F95" s="12" t="str">
        <x:v>Target</x:v>
      </x:c>
      <x:c r="G95" s="12" t="n">
        <x:v>2</x:v>
      </x:c>
      <x:c r="H95" s="13" t="n">
        <x:v>26.74</x:v>
      </x:c>
      <x:c r="I95" s="13" t="n">
        <x:v>73.13</x:v>
      </x:c>
      <x:c r="J95" s="13"/>
      <x:c r="K95" s="13" t="str">
        <x:v>3</x:v>
      </x:c>
      <x:c r="L95" s="13" t="n">
        <x:v>0.98</x:v>
      </x:c>
      <x:c r="M95" s="13" t="n">
        <x:v>0.98</x:v>
      </x:c>
      <x:c r="N95" s="12" t="str">
        <x:v>NO</x:v>
      </x:c>
      <x:c r="O95" s="12" t="str">
        <x:v>siZNF436-4</x:v>
      </x:c>
      <x:c r="P95" s="14" t="str"/>
      <x:c r="Q95" s="12" t="str">
        <x:v>siZNF436-4|||ZNF436-2</x:v>
      </x:c>
    </x:row>
    <x:row r="96">
      <x:c r="A96" s="12" t="str">
        <x:v>D23</x:v>
      </x:c>
      <x:c r="B96" s="12" t="str">
        <x:v>D</x:v>
      </x:c>
      <x:c r="C96" s="12" t="n">
        <x:v>23</x:v>
      </x:c>
      <x:c r="D96" s="12" t="str">
        <x:v>siZNF436-4</x:v>
      </x:c>
      <x:c r="E96" s="12" t="str">
        <x:v>ZNF436-2</x:v>
      </x:c>
      <x:c r="F96" s="12" t="str">
        <x:v>Target</x:v>
      </x:c>
      <x:c r="G96" s="12" t="n">
        <x:v>3</x:v>
      </x:c>
      <x:c r="H96" s="13" t="n">
        <x:v>26.55</x:v>
      </x:c>
      <x:c r="I96" s="13" t="n">
        <x:v>73.2</x:v>
      </x:c>
      <x:c r="J96" s="13"/>
      <x:c r="K96" s="13" t="str">
        <x:v>3</x:v>
      </x:c>
      <x:c r="L96" s="13" t="n">
        <x:v>0.99</x:v>
      </x:c>
      <x:c r="M96" s="13" t="n">
        <x:v>0.99</x:v>
      </x:c>
      <x:c r="N96" s="12" t="str">
        <x:v>NO</x:v>
      </x:c>
      <x:c r="O96" s="12" t="str">
        <x:v>siZNF436-4</x:v>
      </x:c>
      <x:c r="P96" s="14" t="str"/>
      <x:c r="Q96" s="12" t="str">
        <x:v>siZNF436-4|||ZNF436-2</x:v>
      </x:c>
    </x:row>
    <x:row r="97">
      <x:c r="A97" s="12" t="str">
        <x:v>D24</x:v>
      </x:c>
      <x:c r="B97" s="12" t="str">
        <x:v>D</x:v>
      </x:c>
      <x:c r="C97" s="12" t="n">
        <x:v>24</x:v>
      </x:c>
      <x:c r="D97" s="12" t="str">
        <x:v>siZNF436-4</x:v>
      </x:c>
      <x:c r="E97" s="12" t="str">
        <x:v>ZNF436-2</x:v>
      </x:c>
      <x:c r="F97" s="12" t="str">
        <x:v>Target</x:v>
      </x:c>
      <x:c r="G97" s="12" t="n">
        <x:v>4</x:v>
      </x:c>
      <x:c r="H97" s="13" t="n">
        <x:v>26.55</x:v>
      </x:c>
      <x:c r="I97" s="13" t="n">
        <x:v>73.13</x:v>
      </x:c>
      <x:c r="J97" s="13"/>
      <x:c r="K97" s="13" t="str">
        <x:v>3</x:v>
      </x:c>
      <x:c r="L97" s="13" t="n">
        <x:v>0.99</x:v>
      </x:c>
      <x:c r="M97" s="13" t="n">
        <x:v>0.98</x:v>
      </x:c>
      <x:c r="N97" s="12" t="str">
        <x:v>NO</x:v>
      </x:c>
      <x:c r="O97" s="12" t="str">
        <x:v>siZNF436-4</x:v>
      </x:c>
      <x:c r="P97" s="14" t="str"/>
      <x:c r="Q97" s="12" t="str">
        <x:v>siZNF436-4|||ZNF436-2</x:v>
      </x:c>
    </x:row>
    <x:row r="98">
      <x:c r="A98" s="12" t="str">
        <x:v>E1</x:v>
      </x:c>
      <x:c r="B98" s="12" t="str">
        <x:v>E</x:v>
      </x:c>
      <x:c r="C98" s="12" t="n">
        <x:v>1</x:v>
      </x:c>
      <x:c r="D98" s="12" t="str">
        <x:v>siFBN2-1</x:v>
      </x:c>
      <x:c r="E98" s="12" t="str">
        <x:v>GAPDH</x:v>
      </x:c>
      <x:c r="F98" s="12" t="str">
        <x:v>Reference</x:v>
      </x:c>
      <x:c r="G98" s="12" t="n">
        <x:v>1</x:v>
      </x:c>
      <x:c r="H98" s="13" t="n">
        <x:v>16.08</x:v>
      </x:c>
      <x:c r="I98" s="13" t="n">
        <x:v>85.99</x:v>
      </x:c>
      <x:c r="J98" s="13"/>
      <x:c r="K98" s="13" t="str">
        <x:v>1</x:v>
      </x:c>
      <x:c r="L98" s="13" t="n">
        <x:v>0.87</x:v>
      </x:c>
      <x:c r="M98" s="13" t="n">
        <x:v>0.5</x:v>
      </x:c>
      <x:c r="N98" s="12" t="str">
        <x:v>NO</x:v>
      </x:c>
      <x:c r="O98" s="12" t="str">
        <x:v>siFBN2-1</x:v>
      </x:c>
      <x:c r="P98" s="14" t="str"/>
      <x:c r="Q98" s="12" t="str">
        <x:v>siFBN2-1|||GAPDH</x:v>
      </x:c>
    </x:row>
    <x:row r="99">
      <x:c r="A99" s="12" t="str">
        <x:v>E2</x:v>
      </x:c>
      <x:c r="B99" s="12" t="str">
        <x:v>E</x:v>
      </x:c>
      <x:c r="C99" s="12" t="n">
        <x:v>2</x:v>
      </x:c>
      <x:c r="D99" s="12" t="str">
        <x:v>siFBN2-1</x:v>
      </x:c>
      <x:c r="E99" s="12" t="str">
        <x:v>GAPDH</x:v>
      </x:c>
      <x:c r="F99" s="12" t="str">
        <x:v>Reference</x:v>
      </x:c>
      <x:c r="G99" s="12" t="n">
        <x:v>2</x:v>
      </x:c>
      <x:c r="H99" s="13" t="n">
        <x:v>16.1</x:v>
      </x:c>
      <x:c r="I99" s="13" t="n">
        <x:v>85.98</x:v>
      </x:c>
      <x:c r="J99" s="13"/>
      <x:c r="K99" s="13" t="str">
        <x:v>1</x:v>
      </x:c>
      <x:c r="L99" s="13" t="n">
        <x:v>0.88</x:v>
      </x:c>
      <x:c r="M99" s="13" t="n">
        <x:v>0.49</x:v>
      </x:c>
      <x:c r="N99" s="12" t="str">
        <x:v>NO</x:v>
      </x:c>
      <x:c r="O99" s="12" t="str">
        <x:v>siFBN2-1</x:v>
      </x:c>
      <x:c r="P99" s="14" t="str"/>
      <x:c r="Q99" s="12" t="str">
        <x:v>siFBN2-1|||GAPDH</x:v>
      </x:c>
    </x:row>
    <x:row r="100">
      <x:c r="A100" s="12" t="str">
        <x:v>E3</x:v>
      </x:c>
      <x:c r="B100" s="12" t="str">
        <x:v>E</x:v>
      </x:c>
      <x:c r="C100" s="12" t="n">
        <x:v>3</x:v>
      </x:c>
      <x:c r="D100" s="12" t="str">
        <x:v>siFBN2-1</x:v>
      </x:c>
      <x:c r="E100" s="12" t="str">
        <x:v>GAPDH</x:v>
      </x:c>
      <x:c r="F100" s="12" t="str">
        <x:v>Reference</x:v>
      </x:c>
      <x:c r="G100" s="12" t="n">
        <x:v>3</x:v>
      </x:c>
      <x:c r="H100" s="13" t="n">
        <x:v>16.1</x:v>
      </x:c>
      <x:c r="I100" s="13" t="n">
        <x:v>86.02</x:v>
      </x:c>
      <x:c r="J100" s="13"/>
      <x:c r="K100" s="13" t="str">
        <x:v>1</x:v>
      </x:c>
      <x:c r="L100" s="13" t="n">
        <x:v>0.88</x:v>
      </x:c>
      <x:c r="M100" s="13" t="n">
        <x:v>0.49</x:v>
      </x:c>
      <x:c r="N100" s="12" t="str">
        <x:v>NO</x:v>
      </x:c>
      <x:c r="O100" s="12" t="str">
        <x:v>siFBN2-1</x:v>
      </x:c>
      <x:c r="P100" s="14" t="str"/>
      <x:c r="Q100" s="12" t="str">
        <x:v>siFBN2-1|||GAPDH</x:v>
      </x:c>
    </x:row>
    <x:row r="101">
      <x:c r="A101" s="12" t="str">
        <x:v>E4</x:v>
      </x:c>
      <x:c r="B101" s="12" t="str">
        <x:v>E</x:v>
      </x:c>
      <x:c r="C101" s="12" t="n">
        <x:v>4</x:v>
      </x:c>
      <x:c r="D101" s="12" t="str">
        <x:v>siFBN2-1</x:v>
      </x:c>
      <x:c r="E101" s="12" t="str">
        <x:v>GAPDH</x:v>
      </x:c>
      <x:c r="F101" s="12" t="str">
        <x:v>Reference</x:v>
      </x:c>
      <x:c r="G101" s="12" t="n">
        <x:v>4</x:v>
      </x:c>
      <x:c r="H101" s="13" t="n">
        <x:v>16.1</x:v>
      </x:c>
      <x:c r="I101" s="13" t="n">
        <x:v>85.97</x:v>
      </x:c>
      <x:c r="J101" s="13"/>
      <x:c r="K101" s="13" t="str">
        <x:v>1</x:v>
      </x:c>
      <x:c r="L101" s="13" t="n">
        <x:v>0.86</x:v>
      </x:c>
      <x:c r="M101" s="13" t="n">
        <x:v>0.5</x:v>
      </x:c>
      <x:c r="N101" s="12" t="str">
        <x:v>NO</x:v>
      </x:c>
      <x:c r="O101" s="12" t="str">
        <x:v>siFBN2-1</x:v>
      </x:c>
      <x:c r="P101" s="14" t="str"/>
      <x:c r="Q101" s="12" t="str">
        <x:v>siFBN2-1|||GAPDH</x:v>
      </x:c>
    </x:row>
    <x:row r="102">
      <x:c r="A102" s="12" t="str">
        <x:v>E5</x:v>
      </x:c>
      <x:c r="B102" s="12" t="str">
        <x:v>E</x:v>
      </x:c>
      <x:c r="C102" s="12" t="n">
        <x:v>5</x:v>
      </x:c>
      <x:c r="D102" s="12" t="str">
        <x:v>siFBN2-1</x:v>
      </x:c>
      <x:c r="E102" s="12" t="str">
        <x:v>TBP</x:v>
      </x:c>
      <x:c r="F102" s="12" t="str">
        <x:v>Reference</x:v>
      </x:c>
      <x:c r="G102" s="12" t="n">
        <x:v>1</x:v>
      </x:c>
      <x:c r="H102" s="13" t="n">
        <x:v>24.93</x:v>
      </x:c>
      <x:c r="I102" s="13" t="n">
        <x:v>80.27</x:v>
      </x:c>
      <x:c r="J102" s="13"/>
      <x:c r="K102" s="13" t="str">
        <x:v>1</x:v>
      </x:c>
      <x:c r="L102" s="13" t="n">
        <x:v>0.98</x:v>
      </x:c>
      <x:c r="M102" s="13" t="n">
        <x:v>0.17</x:v>
      </x:c>
      <x:c r="N102" s="12" t="str">
        <x:v>NO</x:v>
      </x:c>
      <x:c r="O102" s="12" t="str">
        <x:v>siFBN2-1</x:v>
      </x:c>
      <x:c r="P102" s="14" t="str"/>
      <x:c r="Q102" s="12" t="str">
        <x:v>siFBN2-1|||TBP</x:v>
      </x:c>
    </x:row>
    <x:row r="103">
      <x:c r="A103" s="12" t="str">
        <x:v>E6</x:v>
      </x:c>
      <x:c r="B103" s="12" t="str">
        <x:v>E</x:v>
      </x:c>
      <x:c r="C103" s="12" t="n">
        <x:v>6</x:v>
      </x:c>
      <x:c r="D103" s="12" t="str">
        <x:v>siFBN2-1</x:v>
      </x:c>
      <x:c r="E103" s="12" t="str">
        <x:v>TBP</x:v>
      </x:c>
      <x:c r="F103" s="12" t="str">
        <x:v>Reference</x:v>
      </x:c>
      <x:c r="G103" s="12" t="n">
        <x:v>2</x:v>
      </x:c>
      <x:c r="H103" s="13" t="n">
        <x:v>25</x:v>
      </x:c>
      <x:c r="I103" s="13" t="n">
        <x:v>80.29</x:v>
      </x:c>
      <x:c r="J103" s="13"/>
      <x:c r="K103" s="13" t="str">
        <x:v>1</x:v>
      </x:c>
      <x:c r="L103" s="13" t="n">
        <x:v>0.98</x:v>
      </x:c>
      <x:c r="M103" s="13" t="n">
        <x:v>0.15</x:v>
      </x:c>
      <x:c r="N103" s="12" t="str">
        <x:v>NO</x:v>
      </x:c>
      <x:c r="O103" s="12" t="str">
        <x:v>siFBN2-1</x:v>
      </x:c>
      <x:c r="P103" s="14" t="str"/>
      <x:c r="Q103" s="12" t="str">
        <x:v>siFBN2-1|||TBP</x:v>
      </x:c>
    </x:row>
    <x:row r="104">
      <x:c r="A104" s="12" t="str">
        <x:v>E7</x:v>
      </x:c>
      <x:c r="B104" s="12" t="str">
        <x:v>E</x:v>
      </x:c>
      <x:c r="C104" s="12" t="n">
        <x:v>7</x:v>
      </x:c>
      <x:c r="D104" s="12" t="str">
        <x:v>siFBN2-1</x:v>
      </x:c>
      <x:c r="E104" s="12" t="str">
        <x:v>TBP</x:v>
      </x:c>
      <x:c r="F104" s="12" t="str">
        <x:v>Reference</x:v>
      </x:c>
      <x:c r="G104" s="12" t="n">
        <x:v>3</x:v>
      </x:c>
      <x:c r="H104" s="13" t="n">
        <x:v>24.95</x:v>
      </x:c>
      <x:c r="I104" s="13" t="n">
        <x:v>80.29</x:v>
      </x:c>
      <x:c r="J104" s="13"/>
      <x:c r="K104" s="13" t="str">
        <x:v>1</x:v>
      </x:c>
      <x:c r="L104" s="13" t="n">
        <x:v>0.98</x:v>
      </x:c>
      <x:c r="M104" s="13" t="n">
        <x:v>0.15</x:v>
      </x:c>
      <x:c r="N104" s="12" t="str">
        <x:v>NO</x:v>
      </x:c>
      <x:c r="O104" s="12" t="str">
        <x:v>siFBN2-1</x:v>
      </x:c>
      <x:c r="P104" s="14" t="str"/>
      <x:c r="Q104" s="12" t="str">
        <x:v>siFBN2-1|||TBP</x:v>
      </x:c>
    </x:row>
    <x:row r="105">
      <x:c r="A105" s="12" t="str">
        <x:v>E8</x:v>
      </x:c>
      <x:c r="B105" s="12" t="str">
        <x:v>E</x:v>
      </x:c>
      <x:c r="C105" s="12" t="n">
        <x:v>8</x:v>
      </x:c>
      <x:c r="D105" s="12" t="str">
        <x:v>siFBN2-1</x:v>
      </x:c>
      <x:c r="E105" s="12" t="str">
        <x:v>TBP</x:v>
      </x:c>
      <x:c r="F105" s="12" t="str">
        <x:v>Reference</x:v>
      </x:c>
      <x:c r="G105" s="12" t="n">
        <x:v>4</x:v>
      </x:c>
      <x:c r="H105" s="13" t="n">
        <x:v>25.15</x:v>
      </x:c>
      <x:c r="I105" s="13" t="n">
        <x:v>80.25</x:v>
      </x:c>
      <x:c r="J105" s="13"/>
      <x:c r="K105" s="13" t="str">
        <x:v>1</x:v>
      </x:c>
      <x:c r="L105" s="13" t="n">
        <x:v>0.98</x:v>
      </x:c>
      <x:c r="M105" s="13" t="n">
        <x:v>0.17</x:v>
      </x:c>
      <x:c r="N105" s="12" t="str">
        <x:v>NO</x:v>
      </x:c>
      <x:c r="O105" s="12" t="str">
        <x:v>siFBN2-1</x:v>
      </x:c>
      <x:c r="P105" s="14" t="str"/>
      <x:c r="Q105" s="12" t="str">
        <x:v>siFBN2-1|||TBP</x:v>
      </x:c>
    </x:row>
    <x:row r="106">
      <x:c r="A106" s="12" t="str">
        <x:v>E9</x:v>
      </x:c>
      <x:c r="B106" s="12" t="str">
        <x:v>E</x:v>
      </x:c>
      <x:c r="C106" s="12" t="n">
        <x:v>9</x:v>
      </x:c>
      <x:c r="D106" s="12" t="str">
        <x:v>siFBN2-1</x:v>
      </x:c>
      <x:c r="E106" s="12" t="str">
        <x:v>FBN2-1</x:v>
      </x:c>
      <x:c r="F106" s="12" t="str">
        <x:v>Target</x:v>
      </x:c>
      <x:c r="G106" s="12" t="n">
        <x:v>1</x:v>
      </x:c>
      <x:c r="H106" s="13" t="n">
        <x:v>23.63</x:v>
      </x:c>
      <x:c r="I106" s="13" t="n">
        <x:v>79.25</x:v>
      </x:c>
      <x:c r="J106" s="13"/>
      <x:c r="K106" s="13" t="str">
        <x:v>2</x:v>
      </x:c>
      <x:c r="L106" s="13" t="n">
        <x:v>0.97</x:v>
      </x:c>
      <x:c r="M106" s="13" t="n">
        <x:v>0.46</x:v>
      </x:c>
      <x:c r="N106" s="12" t="str">
        <x:v>NO</x:v>
      </x:c>
      <x:c r="O106" s="12" t="str">
        <x:v>siFBN2-1</x:v>
      </x:c>
      <x:c r="P106" s="14" t="str"/>
      <x:c r="Q106" s="12" t="str">
        <x:v>siFBN2-1|||FBN2-1</x:v>
      </x:c>
    </x:row>
    <x:row r="107">
      <x:c r="A107" s="12" t="str">
        <x:v>E10</x:v>
      </x:c>
      <x:c r="B107" s="12" t="str">
        <x:v>E</x:v>
      </x:c>
      <x:c r="C107" s="12" t="n">
        <x:v>10</x:v>
      </x:c>
      <x:c r="D107" s="12" t="str">
        <x:v>siFBN2-1</x:v>
      </x:c>
      <x:c r="E107" s="12" t="str">
        <x:v>FBN2-1</x:v>
      </x:c>
      <x:c r="F107" s="12" t="str">
        <x:v>Target</x:v>
      </x:c>
      <x:c r="G107" s="12" t="n">
        <x:v>2</x:v>
      </x:c>
      <x:c r="H107" s="13" t="n">
        <x:v>23.64</x:v>
      </x:c>
      <x:c r="I107" s="13" t="n">
        <x:v>79.33</x:v>
      </x:c>
      <x:c r="J107" s="13"/>
      <x:c r="K107" s="13" t="str">
        <x:v>2</x:v>
      </x:c>
      <x:c r="L107" s="13" t="n">
        <x:v>0.97</x:v>
      </x:c>
      <x:c r="M107" s="13" t="n">
        <x:v>0.44</x:v>
      </x:c>
      <x:c r="N107" s="12" t="str">
        <x:v>NO</x:v>
      </x:c>
      <x:c r="O107" s="12" t="str">
        <x:v>siFBN2-1</x:v>
      </x:c>
      <x:c r="P107" s="14" t="str">
        <x:v>列10：修正板图备注‘可能加了两遍cDNA’，范围需实验记录确认</x:v>
      </x:c>
      <x:c r="Q107" s="12" t="str">
        <x:v>siFBN2-1|||FBN2-1</x:v>
      </x:c>
    </x:row>
    <x:row r="108">
      <x:c r="A108" s="12" t="str">
        <x:v>E11</x:v>
      </x:c>
      <x:c r="B108" s="12" t="str">
        <x:v>E</x:v>
      </x:c>
      <x:c r="C108" s="12" t="n">
        <x:v>11</x:v>
      </x:c>
      <x:c r="D108" s="12" t="str">
        <x:v>siFBN2-1</x:v>
      </x:c>
      <x:c r="E108" s="12" t="str">
        <x:v>FBN2-1</x:v>
      </x:c>
      <x:c r="F108" s="12" t="str">
        <x:v>Target</x:v>
      </x:c>
      <x:c r="G108" s="12" t="n">
        <x:v>3</x:v>
      </x:c>
      <x:c r="H108" s="13" t="n">
        <x:v>23.61</x:v>
      </x:c>
      <x:c r="I108" s="13" t="n">
        <x:v>79.34</x:v>
      </x:c>
      <x:c r="J108" s="13"/>
      <x:c r="K108" s="13" t="str">
        <x:v>2</x:v>
      </x:c>
      <x:c r="L108" s="13" t="n">
        <x:v>0.96</x:v>
      </x:c>
      <x:c r="M108" s="13" t="n">
        <x:v>0.44</x:v>
      </x:c>
      <x:c r="N108" s="12" t="str">
        <x:v>NO</x:v>
      </x:c>
      <x:c r="O108" s="12" t="str">
        <x:v>siFBN2-1</x:v>
      </x:c>
      <x:c r="P108" s="14" t="str"/>
      <x:c r="Q108" s="12" t="str">
        <x:v>siFBN2-1|||FBN2-1</x:v>
      </x:c>
    </x:row>
    <x:row r="109">
      <x:c r="A109" s="12" t="str">
        <x:v>E12</x:v>
      </x:c>
      <x:c r="B109" s="12" t="str">
        <x:v>E</x:v>
      </x:c>
      <x:c r="C109" s="12" t="n">
        <x:v>12</x:v>
      </x:c>
      <x:c r="D109" s="12" t="str">
        <x:v>siFBN2-1</x:v>
      </x:c>
      <x:c r="E109" s="12" t="str">
        <x:v>FBN2-1</x:v>
      </x:c>
      <x:c r="F109" s="12" t="str">
        <x:v>Target</x:v>
      </x:c>
      <x:c r="G109" s="12" t="n">
        <x:v>4</x:v>
      </x:c>
      <x:c r="H109" s="13" t="n">
        <x:v>23.72</x:v>
      </x:c>
      <x:c r="I109" s="13" t="n">
        <x:v>79.35</x:v>
      </x:c>
      <x:c r="J109" s="13"/>
      <x:c r="K109" s="13" t="str">
        <x:v>2</x:v>
      </x:c>
      <x:c r="L109" s="13" t="n">
        <x:v>0.96</x:v>
      </x:c>
      <x:c r="M109" s="13" t="n">
        <x:v>0.44</x:v>
      </x:c>
      <x:c r="N109" s="12" t="str">
        <x:v>NO</x:v>
      </x:c>
      <x:c r="O109" s="12" t="str">
        <x:v>siFBN2-1</x:v>
      </x:c>
      <x:c r="P109" s="14" t="str"/>
      <x:c r="Q109" s="12" t="str">
        <x:v>siFBN2-1|||FBN2-1</x:v>
      </x:c>
    </x:row>
    <x:row r="110">
      <x:c r="A110" s="12" t="str">
        <x:v>E13</x:v>
      </x:c>
      <x:c r="B110" s="12" t="str">
        <x:v>E</x:v>
      </x:c>
      <x:c r="C110" s="12" t="n">
        <x:v>13</x:v>
      </x:c>
      <x:c r="D110" s="12" t="str">
        <x:v>siFBN2-1</x:v>
      </x:c>
      <x:c r="E110" s="12" t="str">
        <x:v>FBN2-2</x:v>
      </x:c>
      <x:c r="F110" s="12" t="str">
        <x:v>Target</x:v>
      </x:c>
      <x:c r="G110" s="12" t="n">
        <x:v>1</x:v>
      </x:c>
      <x:c r="H110" s="13" t="n">
        <x:v>23.67</x:v>
      </x:c>
      <x:c r="I110" s="13" t="n">
        <x:v>83.66</x:v>
      </x:c>
      <x:c r="J110" s="13"/>
      <x:c r="K110" s="13" t="str">
        <x:v>1</x:v>
      </x:c>
      <x:c r="L110" s="13" t="n">
        <x:v>0.97</x:v>
      </x:c>
      <x:c r="M110" s="13" t="n">
        <x:v>0.51</x:v>
      </x:c>
      <x:c r="N110" s="12" t="str">
        <x:v>NO</x:v>
      </x:c>
      <x:c r="O110" s="12" t="str">
        <x:v>siFBN2-1</x:v>
      </x:c>
      <x:c r="P110" s="14" t="str"/>
      <x:c r="Q110" s="12" t="str">
        <x:v>siFBN2-1|||FBN2-2</x:v>
      </x:c>
    </x:row>
    <x:row r="111">
      <x:c r="A111" s="12" t="str">
        <x:v>E14</x:v>
      </x:c>
      <x:c r="B111" s="12" t="str">
        <x:v>E</x:v>
      </x:c>
      <x:c r="C111" s="12" t="n">
        <x:v>14</x:v>
      </x:c>
      <x:c r="D111" s="12" t="str">
        <x:v>siFBN2-2</x:v>
      </x:c>
      <x:c r="E111" s="12" t="str">
        <x:v>FBN2-2</x:v>
      </x:c>
      <x:c r="F111" s="12" t="str">
        <x:v>Target</x:v>
      </x:c>
      <x:c r="G111" s="12" t="n">
        <x:v>2</x:v>
      </x:c>
      <x:c r="H111" s="13" t="n">
        <x:v>26.46</x:v>
      </x:c>
      <x:c r="I111" s="13" t="n">
        <x:v>83.44</x:v>
      </x:c>
      <x:c r="J111" s="13"/>
      <x:c r="K111" s="13" t="str">
        <x:v>1</x:v>
      </x:c>
      <x:c r="L111" s="13" t="n">
        <x:v>0.94</x:v>
      </x:c>
      <x:c r="M111" s="13" t="n">
        <x:v>0.18</x:v>
      </x:c>
      <x:c r="N111" s="12" t="str">
        <x:v>YES</x:v>
      </x:c>
      <x:c r="O111" s="12" t="str">
        <x:v>siFBN2-1</x:v>
      </x:c>
      <x:c r="P111" s="14" t="str">
        <x:v>列14：cDNA样本整体向上错位一位，已按修正板图重映射</x:v>
      </x:c>
      <x:c r="Q111" s="12" t="str">
        <x:v>siFBN2-2|||FBN2-2</x:v>
      </x:c>
    </x:row>
    <x:row r="112">
      <x:c r="A112" s="12" t="str">
        <x:v>E15</x:v>
      </x:c>
      <x:c r="B112" s="12" t="str">
        <x:v>E</x:v>
      </x:c>
      <x:c r="C112" s="12" t="n">
        <x:v>15</x:v>
      </x:c>
      <x:c r="D112" s="12" t="str">
        <x:v>siFBN2-1</x:v>
      </x:c>
      <x:c r="E112" s="12" t="str">
        <x:v>FBN2-2</x:v>
      </x:c>
      <x:c r="F112" s="12" t="str">
        <x:v>Target</x:v>
      </x:c>
      <x:c r="G112" s="12" t="n">
        <x:v>3</x:v>
      </x:c>
      <x:c r="H112" s="13" t="n">
        <x:v>23.7</x:v>
      </x:c>
      <x:c r="I112" s="13" t="n">
        <x:v>83.79</x:v>
      </x:c>
      <x:c r="J112" s="13"/>
      <x:c r="K112" s="13" t="str">
        <x:v>1</x:v>
      </x:c>
      <x:c r="L112" s="13" t="n">
        <x:v>0.97</x:v>
      </x:c>
      <x:c r="M112" s="13" t="n">
        <x:v>0.51</x:v>
      </x:c>
      <x:c r="N112" s="12" t="str">
        <x:v>NO</x:v>
      </x:c>
      <x:c r="O112" s="12" t="str">
        <x:v>siFBN2-1</x:v>
      </x:c>
      <x:c r="P112" s="14" t="str"/>
      <x:c r="Q112" s="12" t="str">
        <x:v>siFBN2-1|||FBN2-2</x:v>
      </x:c>
    </x:row>
    <x:row r="113">
      <x:c r="A113" s="12" t="str">
        <x:v>E16</x:v>
      </x:c>
      <x:c r="B113" s="12" t="str">
        <x:v>E</x:v>
      </x:c>
      <x:c r="C113" s="12" t="n">
        <x:v>16</x:v>
      </x:c>
      <x:c r="D113" s="12" t="str">
        <x:v>siFBN2-1</x:v>
      </x:c>
      <x:c r="E113" s="12" t="str">
        <x:v>FBN2-2</x:v>
      </x:c>
      <x:c r="F113" s="12" t="str">
        <x:v>Target</x:v>
      </x:c>
      <x:c r="G113" s="12" t="n">
        <x:v>4</x:v>
      </x:c>
      <x:c r="H113" s="13" t="n">
        <x:v>23.65</x:v>
      </x:c>
      <x:c r="I113" s="13" t="n">
        <x:v>83.81</x:v>
      </x:c>
      <x:c r="J113" s="13"/>
      <x:c r="K113" s="13" t="str">
        <x:v>1</x:v>
      </x:c>
      <x:c r="L113" s="13" t="n">
        <x:v>0.94</x:v>
      </x:c>
      <x:c r="M113" s="13" t="n">
        <x:v>0.53</x:v>
      </x:c>
      <x:c r="N113" s="12" t="str">
        <x:v>NO</x:v>
      </x:c>
      <x:c r="O113" s="12" t="str">
        <x:v>siFBN2-1</x:v>
      </x:c>
      <x:c r="P113" s="14" t="str"/>
      <x:c r="Q113" s="12" t="str">
        <x:v>siFBN2-1|||FBN2-2</x:v>
      </x:c>
    </x:row>
    <x:row r="114">
      <x:c r="A114" s="12" t="str">
        <x:v>E17</x:v>
      </x:c>
      <x:c r="B114" s="12" t="str">
        <x:v>E</x:v>
      </x:c>
      <x:c r="C114" s="12" t="n">
        <x:v>17</x:v>
      </x:c>
      <x:c r="D114" s="12" t="str">
        <x:v>siFBN2-1</x:v>
      </x:c>
      <x:c r="E114" s="12" t="str">
        <x:v>ZNF436-1</x:v>
      </x:c>
      <x:c r="F114" s="12" t="str">
        <x:v>Target</x:v>
      </x:c>
      <x:c r="G114" s="12" t="n">
        <x:v>1</x:v>
      </x:c>
      <x:c r="H114" s="13" t="n">
        <x:v>27.8</x:v>
      </x:c>
      <x:c r="I114" s="13" t="n">
        <x:v>77.77</x:v>
      </x:c>
      <x:c r="J114" s="13"/>
      <x:c r="K114" s="13" t="str">
        <x:v>2</x:v>
      </x:c>
      <x:c r="L114" s="13" t="n">
        <x:v>0.98</x:v>
      </x:c>
      <x:c r="M114" s="13" t="n">
        <x:v>0.7</x:v>
      </x:c>
      <x:c r="N114" s="12" t="str">
        <x:v>NO</x:v>
      </x:c>
      <x:c r="O114" s="12" t="str">
        <x:v>siFBN2-1</x:v>
      </x:c>
      <x:c r="P114" s="14" t="str"/>
      <x:c r="Q114" s="12" t="str">
        <x:v>siFBN2-1|||ZNF436-1</x:v>
      </x:c>
    </x:row>
    <x:row r="115">
      <x:c r="A115" s="12" t="str">
        <x:v>E18</x:v>
      </x:c>
      <x:c r="B115" s="12" t="str">
        <x:v>E</x:v>
      </x:c>
      <x:c r="C115" s="12" t="n">
        <x:v>18</x:v>
      </x:c>
      <x:c r="D115" s="12" t="str">
        <x:v>siFBN2-1</x:v>
      </x:c>
      <x:c r="E115" s="12" t="str">
        <x:v>ZNF436-1</x:v>
      </x:c>
      <x:c r="F115" s="12" t="str">
        <x:v>Target</x:v>
      </x:c>
      <x:c r="G115" s="12" t="n">
        <x:v>2</x:v>
      </x:c>
      <x:c r="H115" s="13" t="n">
        <x:v>27.62</x:v>
      </x:c>
      <x:c r="I115" s="13" t="n">
        <x:v>77.92</x:v>
      </x:c>
      <x:c r="J115" s="13"/>
      <x:c r="K115" s="13" t="str">
        <x:v>2</x:v>
      </x:c>
      <x:c r="L115" s="13" t="n">
        <x:v>0.97</x:v>
      </x:c>
      <x:c r="M115" s="13" t="n">
        <x:v>0.76</x:v>
      </x:c>
      <x:c r="N115" s="12" t="str">
        <x:v>NO</x:v>
      </x:c>
      <x:c r="O115" s="12" t="str">
        <x:v>siFBN2-1</x:v>
      </x:c>
      <x:c r="P115" s="14" t="str"/>
      <x:c r="Q115" s="12" t="str">
        <x:v>siFBN2-1|||ZNF436-1</x:v>
      </x:c>
    </x:row>
    <x:row r="116">
      <x:c r="A116" s="12" t="str">
        <x:v>E19</x:v>
      </x:c>
      <x:c r="B116" s="12" t="str">
        <x:v>E</x:v>
      </x:c>
      <x:c r="C116" s="12" t="n">
        <x:v>19</x:v>
      </x:c>
      <x:c r="D116" s="12" t="str">
        <x:v>siFBN2-1</x:v>
      </x:c>
      <x:c r="E116" s="12" t="str">
        <x:v>ZNF436-1</x:v>
      </x:c>
      <x:c r="F116" s="12" t="str">
        <x:v>Target</x:v>
      </x:c>
      <x:c r="G116" s="12" t="n">
        <x:v>3</x:v>
      </x:c>
      <x:c r="H116" s="13" t="n">
        <x:v>27.42</x:v>
      </x:c>
      <x:c r="I116" s="13" t="n">
        <x:v>77.94</x:v>
      </x:c>
      <x:c r="J116" s="13"/>
      <x:c r="K116" s="13" t="str">
        <x:v>2</x:v>
      </x:c>
      <x:c r="L116" s="13" t="n">
        <x:v>0.98</x:v>
      </x:c>
      <x:c r="M116" s="13" t="n">
        <x:v>0.76</x:v>
      </x:c>
      <x:c r="N116" s="12" t="str">
        <x:v>NO</x:v>
      </x:c>
      <x:c r="O116" s="12" t="str">
        <x:v>siFBN2-1</x:v>
      </x:c>
      <x:c r="P116" s="14" t="str"/>
      <x:c r="Q116" s="12" t="str">
        <x:v>siFBN2-1|||ZNF436-1</x:v>
      </x:c>
    </x:row>
    <x:row r="117">
      <x:c r="A117" s="12" t="str">
        <x:v>E20</x:v>
      </x:c>
      <x:c r="B117" s="12" t="str">
        <x:v>E</x:v>
      </x:c>
      <x:c r="C117" s="12" t="n">
        <x:v>20</x:v>
      </x:c>
      <x:c r="D117" s="12" t="str">
        <x:v>siFBN2-1</x:v>
      </x:c>
      <x:c r="E117" s="12" t="str">
        <x:v>ZNF436-1</x:v>
      </x:c>
      <x:c r="F117" s="12" t="str">
        <x:v>Target</x:v>
      </x:c>
      <x:c r="G117" s="12" t="n">
        <x:v>4</x:v>
      </x:c>
      <x:c r="H117" s="13" t="n">
        <x:v>27.59</x:v>
      </x:c>
      <x:c r="I117" s="13" t="n">
        <x:v>77.96</x:v>
      </x:c>
      <x:c r="J117" s="13"/>
      <x:c r="K117" s="13" t="str">
        <x:v>2</x:v>
      </x:c>
      <x:c r="L117" s="13" t="n">
        <x:v>0.98</x:v>
      </x:c>
      <x:c r="M117" s="13" t="n">
        <x:v>0.76</x:v>
      </x:c>
      <x:c r="N117" s="12" t="str">
        <x:v>NO</x:v>
      </x:c>
      <x:c r="O117" s="12" t="str">
        <x:v>siFBN2-1</x:v>
      </x:c>
      <x:c r="P117" s="14" t="str"/>
      <x:c r="Q117" s="12" t="str">
        <x:v>siFBN2-1|||ZNF436-1</x:v>
      </x:c>
    </x:row>
    <x:row r="118">
      <x:c r="A118" s="12" t="str">
        <x:v>E21</x:v>
      </x:c>
      <x:c r="B118" s="12" t="str">
        <x:v>E</x:v>
      </x:c>
      <x:c r="C118" s="12" t="n">
        <x:v>21</x:v>
      </x:c>
      <x:c r="D118" s="12" t="str">
        <x:v>siFBN2-1</x:v>
      </x:c>
      <x:c r="E118" s="12" t="str">
        <x:v>ZNF436-2</x:v>
      </x:c>
      <x:c r="F118" s="12" t="str">
        <x:v>Target</x:v>
      </x:c>
      <x:c r="G118" s="12" t="n">
        <x:v>1</x:v>
      </x:c>
      <x:c r="H118" s="13" t="n">
        <x:v>26.98</x:v>
      </x:c>
      <x:c r="I118" s="13" t="n">
        <x:v>73.62</x:v>
      </x:c>
      <x:c r="J118" s="13"/>
      <x:c r="K118" s="13" t="str">
        <x:v>3</x:v>
      </x:c>
      <x:c r="L118" s="13" t="n">
        <x:v>0.77</x:v>
      </x:c>
      <x:c r="M118" s="13" t="n">
        <x:v>0.72</x:v>
      </x:c>
      <x:c r="N118" s="12" t="str">
        <x:v>NO</x:v>
      </x:c>
      <x:c r="O118" s="12" t="str">
        <x:v>siFBN2-1</x:v>
      </x:c>
      <x:c r="P118" s="14" t="str"/>
      <x:c r="Q118" s="12" t="str">
        <x:v>siFBN2-1|||ZNF436-2</x:v>
      </x:c>
    </x:row>
    <x:row r="119">
      <x:c r="A119" s="12" t="str">
        <x:v>E22</x:v>
      </x:c>
      <x:c r="B119" s="12" t="str">
        <x:v>E</x:v>
      </x:c>
      <x:c r="C119" s="12" t="n">
        <x:v>22</x:v>
      </x:c>
      <x:c r="D119" s="12" t="str">
        <x:v>siFBN2-1</x:v>
      </x:c>
      <x:c r="E119" s="12" t="str">
        <x:v>ZNF436-2</x:v>
      </x:c>
      <x:c r="F119" s="12" t="str">
        <x:v>Target</x:v>
      </x:c>
      <x:c r="G119" s="12" t="n">
        <x:v>2</x:v>
      </x:c>
      <x:c r="H119" s="13" t="n">
        <x:v>27.07</x:v>
      </x:c>
      <x:c r="I119" s="13" t="n">
        <x:v>73.88</x:v>
      </x:c>
      <x:c r="J119" s="13"/>
      <x:c r="K119" s="13" t="str">
        <x:v>3</x:v>
      </x:c>
      <x:c r="L119" s="13" t="n">
        <x:v>0.71</x:v>
      </x:c>
      <x:c r="M119" s="13" t="n">
        <x:v>0.64</x:v>
      </x:c>
      <x:c r="N119" s="12" t="str">
        <x:v>NO</x:v>
      </x:c>
      <x:c r="O119" s="12" t="str">
        <x:v>siFBN2-1</x:v>
      </x:c>
      <x:c r="P119" s="14" t="str"/>
      <x:c r="Q119" s="12" t="str">
        <x:v>siFBN2-1|||ZNF436-2</x:v>
      </x:c>
    </x:row>
    <x:row r="120">
      <x:c r="A120" s="12" t="str">
        <x:v>E23</x:v>
      </x:c>
      <x:c r="B120" s="12" t="str">
        <x:v>E</x:v>
      </x:c>
      <x:c r="C120" s="12" t="n">
        <x:v>23</x:v>
      </x:c>
      <x:c r="D120" s="12" t="str">
        <x:v>siFBN2-1</x:v>
      </x:c>
      <x:c r="E120" s="12" t="str">
        <x:v>ZNF436-2</x:v>
      </x:c>
      <x:c r="F120" s="12" t="str">
        <x:v>Target</x:v>
      </x:c>
      <x:c r="G120" s="12" t="n">
        <x:v>3</x:v>
      </x:c>
      <x:c r="H120" s="13" t="n">
        <x:v>25.67</x:v>
      </x:c>
      <x:c r="I120" s="13" t="n">
        <x:v>72.93</x:v>
      </x:c>
      <x:c r="J120" s="13"/>
      <x:c r="K120" s="13" t="str">
        <x:v>3</x:v>
      </x:c>
      <x:c r="L120" s="13" t="n">
        <x:v>0.97</x:v>
      </x:c>
      <x:c r="M120" s="13" t="n">
        <x:v>0.97</x:v>
      </x:c>
      <x:c r="N120" s="12" t="str">
        <x:v>NO</x:v>
      </x:c>
      <x:c r="O120" s="12" t="str">
        <x:v>siFBN2-1</x:v>
      </x:c>
      <x:c r="P120" s="14" t="str"/>
      <x:c r="Q120" s="12" t="str">
        <x:v>siFBN2-1|||ZNF436-2</x:v>
      </x:c>
    </x:row>
    <x:row r="121">
      <x:c r="A121" s="12" t="str">
        <x:v>E24</x:v>
      </x:c>
      <x:c r="B121" s="12" t="str">
        <x:v>E</x:v>
      </x:c>
      <x:c r="C121" s="12" t="n">
        <x:v>24</x:v>
      </x:c>
      <x:c r="D121" s="12" t="str">
        <x:v>siFBN2-1</x:v>
      </x:c>
      <x:c r="E121" s="12" t="str">
        <x:v>ZNF436-2</x:v>
      </x:c>
      <x:c r="F121" s="12" t="str">
        <x:v>Target</x:v>
      </x:c>
      <x:c r="G121" s="12" t="n">
        <x:v>4</x:v>
      </x:c>
      <x:c r="H121" s="13" t="n">
        <x:v>26.96</x:v>
      </x:c>
      <x:c r="I121" s="13" t="n">
        <x:v>74.3</x:v>
      </x:c>
      <x:c r="J121" s="13"/>
      <x:c r="K121" s="13" t="str">
        <x:v>Unknown</x:v>
      </x:c>
      <x:c r="L121" s="13" t="n">
        <x:v>0.68</x:v>
      </x:c>
      <x:c r="M121" s="13" t="n">
        <x:v>0.54</x:v>
      </x:c>
      <x:c r="N121" s="12" t="str">
        <x:v>NO</x:v>
      </x:c>
      <x:c r="O121" s="12" t="str">
        <x:v>siFBN2-1</x:v>
      </x:c>
      <x:c r="P121" s="14" t="str"/>
      <x:c r="Q121" s="12" t="str">
        <x:v>siFBN2-1|||ZNF436-2</x:v>
      </x:c>
    </x:row>
    <x:row r="122">
      <x:c r="A122" s="12" t="str">
        <x:v>G1</x:v>
      </x:c>
      <x:c r="B122" s="12" t="str">
        <x:v>G</x:v>
      </x:c>
      <x:c r="C122" s="12" t="n">
        <x:v>1</x:v>
      </x:c>
      <x:c r="D122" s="12" t="str">
        <x:v>siFBN2-2</x:v>
      </x:c>
      <x:c r="E122" s="12" t="str">
        <x:v>GAPDH</x:v>
      </x:c>
      <x:c r="F122" s="12" t="str">
        <x:v>Reference</x:v>
      </x:c>
      <x:c r="G122" s="12" t="n">
        <x:v>1</x:v>
      </x:c>
      <x:c r="H122" s="13" t="n">
        <x:v>16.08</x:v>
      </x:c>
      <x:c r="I122" s="13" t="n">
        <x:v>85.99</x:v>
      </x:c>
      <x:c r="J122" s="13"/>
      <x:c r="K122" s="13" t="str">
        <x:v>1</x:v>
      </x:c>
      <x:c r="L122" s="13" t="n">
        <x:v>0.88</x:v>
      </x:c>
      <x:c r="M122" s="13" t="n">
        <x:v>0.49</x:v>
      </x:c>
      <x:c r="N122" s="12" t="str">
        <x:v>NO</x:v>
      </x:c>
      <x:c r="O122" s="12" t="str">
        <x:v>siFBN2-2</x:v>
      </x:c>
      <x:c r="P122" s="14" t="str"/>
      <x:c r="Q122" s="12" t="str">
        <x:v>siFBN2-2|||GAPDH</x:v>
      </x:c>
    </x:row>
    <x:row r="123">
      <x:c r="A123" s="12" t="str">
        <x:v>G2</x:v>
      </x:c>
      <x:c r="B123" s="12" t="str">
        <x:v>G</x:v>
      </x:c>
      <x:c r="C123" s="12" t="n">
        <x:v>2</x:v>
      </x:c>
      <x:c r="D123" s="12" t="str">
        <x:v>siFBN2-2</x:v>
      </x:c>
      <x:c r="E123" s="12" t="str">
        <x:v>GAPDH</x:v>
      </x:c>
      <x:c r="F123" s="12" t="str">
        <x:v>Reference</x:v>
      </x:c>
      <x:c r="G123" s="12" t="n">
        <x:v>2</x:v>
      </x:c>
      <x:c r="H123" s="13" t="n">
        <x:v>16.08</x:v>
      </x:c>
      <x:c r="I123" s="13" t="n">
        <x:v>86.01</x:v>
      </x:c>
      <x:c r="J123" s="13"/>
      <x:c r="K123" s="13" t="str">
        <x:v>1</x:v>
      </x:c>
      <x:c r="L123" s="13" t="n">
        <x:v>0.88</x:v>
      </x:c>
      <x:c r="M123" s="13" t="n">
        <x:v>0.49</x:v>
      </x:c>
      <x:c r="N123" s="12" t="str">
        <x:v>NO</x:v>
      </x:c>
      <x:c r="O123" s="12" t="str">
        <x:v>siFBN2-2</x:v>
      </x:c>
      <x:c r="P123" s="14" t="str"/>
      <x:c r="Q123" s="12" t="str">
        <x:v>siFBN2-2|||GAPDH</x:v>
      </x:c>
    </x:row>
    <x:row r="124">
      <x:c r="A124" s="12" t="str">
        <x:v>G3</x:v>
      </x:c>
      <x:c r="B124" s="12" t="str">
        <x:v>G</x:v>
      </x:c>
      <x:c r="C124" s="12" t="n">
        <x:v>3</x:v>
      </x:c>
      <x:c r="D124" s="12" t="str">
        <x:v>siFBN2-2</x:v>
      </x:c>
      <x:c r="E124" s="12" t="str">
        <x:v>GAPDH</x:v>
      </x:c>
      <x:c r="F124" s="12" t="str">
        <x:v>Reference</x:v>
      </x:c>
      <x:c r="G124" s="12" t="n">
        <x:v>3</x:v>
      </x:c>
      <x:c r="H124" s="13" t="n">
        <x:v>16.06</x:v>
      </x:c>
      <x:c r="I124" s="13" t="n">
        <x:v>85.98</x:v>
      </x:c>
      <x:c r="J124" s="13"/>
      <x:c r="K124" s="13" t="str">
        <x:v>1</x:v>
      </x:c>
      <x:c r="L124" s="13" t="n">
        <x:v>0.87</x:v>
      </x:c>
      <x:c r="M124" s="13" t="n">
        <x:v>0.49</x:v>
      </x:c>
      <x:c r="N124" s="12" t="str">
        <x:v>NO</x:v>
      </x:c>
      <x:c r="O124" s="12" t="str">
        <x:v>siFBN2-2</x:v>
      </x:c>
      <x:c r="P124" s="14" t="str"/>
      <x:c r="Q124" s="12" t="str">
        <x:v>siFBN2-2|||GAPDH</x:v>
      </x:c>
    </x:row>
    <x:row r="125">
      <x:c r="A125" s="12" t="str">
        <x:v>G4</x:v>
      </x:c>
      <x:c r="B125" s="12" t="str">
        <x:v>G</x:v>
      </x:c>
      <x:c r="C125" s="12" t="n">
        <x:v>4</x:v>
      </x:c>
      <x:c r="D125" s="12" t="str">
        <x:v>siFBN2-2</x:v>
      </x:c>
      <x:c r="E125" s="12" t="str">
        <x:v>GAPDH</x:v>
      </x:c>
      <x:c r="F125" s="12" t="str">
        <x:v>Reference</x:v>
      </x:c>
      <x:c r="G125" s="12" t="n">
        <x:v>4</x:v>
      </x:c>
      <x:c r="H125" s="13" t="n">
        <x:v>16.12</x:v>
      </x:c>
      <x:c r="I125" s="13" t="n">
        <x:v>86</x:v>
      </x:c>
      <x:c r="J125" s="13"/>
      <x:c r="K125" s="13" t="str">
        <x:v>1</x:v>
      </x:c>
      <x:c r="L125" s="13" t="n">
        <x:v>0.87</x:v>
      </x:c>
      <x:c r="M125" s="13" t="n">
        <x:v>0.49</x:v>
      </x:c>
      <x:c r="N125" s="12" t="str">
        <x:v>NO</x:v>
      </x:c>
      <x:c r="O125" s="12" t="str">
        <x:v>siFBN2-2</x:v>
      </x:c>
      <x:c r="P125" s="14" t="str"/>
      <x:c r="Q125" s="12" t="str">
        <x:v>siFBN2-2|||GAPDH</x:v>
      </x:c>
    </x:row>
    <x:row r="126">
      <x:c r="A126" s="12" t="str">
        <x:v>G5</x:v>
      </x:c>
      <x:c r="B126" s="12" t="str">
        <x:v>G</x:v>
      </x:c>
      <x:c r="C126" s="12" t="n">
        <x:v>5</x:v>
      </x:c>
      <x:c r="D126" s="12" t="str">
        <x:v>siFBN2-2</x:v>
      </x:c>
      <x:c r="E126" s="12" t="str">
        <x:v>TBP</x:v>
      </x:c>
      <x:c r="F126" s="12" t="str">
        <x:v>Reference</x:v>
      </x:c>
      <x:c r="G126" s="12" t="n">
        <x:v>1</x:v>
      </x:c>
      <x:c r="H126" s="13" t="n">
        <x:v>24.66</x:v>
      </x:c>
      <x:c r="I126" s="13" t="n">
        <x:v>80.29</x:v>
      </x:c>
      <x:c r="J126" s="13"/>
      <x:c r="K126" s="13" t="str">
        <x:v>1</x:v>
      </x:c>
      <x:c r="L126" s="13" t="n">
        <x:v>0.97</x:v>
      </x:c>
      <x:c r="M126" s="13" t="n">
        <x:v>0.13</x:v>
      </x:c>
      <x:c r="N126" s="12" t="str">
        <x:v>NO</x:v>
      </x:c>
      <x:c r="O126" s="12" t="str">
        <x:v>siFBN2-2</x:v>
      </x:c>
      <x:c r="P126" s="14" t="str"/>
      <x:c r="Q126" s="12" t="str">
        <x:v>siFBN2-2|||TBP</x:v>
      </x:c>
    </x:row>
    <x:row r="127">
      <x:c r="A127" s="12" t="str">
        <x:v>G6</x:v>
      </x:c>
      <x:c r="B127" s="12" t="str">
        <x:v>G</x:v>
      </x:c>
      <x:c r="C127" s="12" t="n">
        <x:v>6</x:v>
      </x:c>
      <x:c r="D127" s="12" t="str">
        <x:v>siFBN2-2</x:v>
      </x:c>
      <x:c r="E127" s="12" t="str">
        <x:v>TBP</x:v>
      </x:c>
      <x:c r="F127" s="12" t="str">
        <x:v>Reference</x:v>
      </x:c>
      <x:c r="G127" s="12" t="n">
        <x:v>2</x:v>
      </x:c>
      <x:c r="H127" s="13" t="n">
        <x:v>24.7</x:v>
      </x:c>
      <x:c r="I127" s="13" t="n">
        <x:v>80.36</x:v>
      </x:c>
      <x:c r="J127" s="13"/>
      <x:c r="K127" s="13" t="str">
        <x:v>1</x:v>
      </x:c>
      <x:c r="L127" s="13" t="n">
        <x:v>0.97</x:v>
      </x:c>
      <x:c r="M127" s="13" t="n">
        <x:v>0.14</x:v>
      </x:c>
      <x:c r="N127" s="12" t="str">
        <x:v>NO</x:v>
      </x:c>
      <x:c r="O127" s="12" t="str">
        <x:v>siFBN2-2</x:v>
      </x:c>
      <x:c r="P127" s="14" t="str"/>
      <x:c r="Q127" s="12" t="str">
        <x:v>siFBN2-2|||TBP</x:v>
      </x:c>
    </x:row>
    <x:row r="128">
      <x:c r="A128" s="12" t="str">
        <x:v>G7</x:v>
      </x:c>
      <x:c r="B128" s="12" t="str">
        <x:v>G</x:v>
      </x:c>
      <x:c r="C128" s="12" t="n">
        <x:v>7</x:v>
      </x:c>
      <x:c r="D128" s="12" t="str">
        <x:v>siFBN2-2</x:v>
      </x:c>
      <x:c r="E128" s="12" t="str">
        <x:v>TBP</x:v>
      </x:c>
      <x:c r="F128" s="12" t="str">
        <x:v>Reference</x:v>
      </x:c>
      <x:c r="G128" s="12" t="n">
        <x:v>3</x:v>
      </x:c>
      <x:c r="H128" s="13" t="n">
        <x:v>24.6</x:v>
      </x:c>
      <x:c r="I128" s="13" t="n">
        <x:v>80.34</x:v>
      </x:c>
      <x:c r="J128" s="13"/>
      <x:c r="K128" s="13" t="str">
        <x:v>1</x:v>
      </x:c>
      <x:c r="L128" s="13" t="n">
        <x:v>0.97</x:v>
      </x:c>
      <x:c r="M128" s="13" t="n">
        <x:v>0.13</x:v>
      </x:c>
      <x:c r="N128" s="12" t="str">
        <x:v>NO</x:v>
      </x:c>
      <x:c r="O128" s="12" t="str">
        <x:v>siFBN2-2</x:v>
      </x:c>
      <x:c r="P128" s="14" t="str"/>
      <x:c r="Q128" s="12" t="str">
        <x:v>siFBN2-2|||TBP</x:v>
      </x:c>
    </x:row>
    <x:row r="129">
      <x:c r="A129" s="12" t="str">
        <x:v>G8</x:v>
      </x:c>
      <x:c r="B129" s="12" t="str">
        <x:v>G</x:v>
      </x:c>
      <x:c r="C129" s="12" t="n">
        <x:v>8</x:v>
      </x:c>
      <x:c r="D129" s="12" t="str">
        <x:v>siFBN2-2</x:v>
      </x:c>
      <x:c r="E129" s="12" t="str">
        <x:v>TBP</x:v>
      </x:c>
      <x:c r="F129" s="12" t="str">
        <x:v>Reference</x:v>
      </x:c>
      <x:c r="G129" s="12" t="n">
        <x:v>4</x:v>
      </x:c>
      <x:c r="H129" s="13" t="n">
        <x:v>24.62</x:v>
      </x:c>
      <x:c r="I129" s="13" t="n">
        <x:v>80.28</x:v>
      </x:c>
      <x:c r="J129" s="13"/>
      <x:c r="K129" s="13" t="str">
        <x:v>1</x:v>
      </x:c>
      <x:c r="L129" s="13" t="n">
        <x:v>0.96</x:v>
      </x:c>
      <x:c r="M129" s="13" t="n">
        <x:v>0.12</x:v>
      </x:c>
      <x:c r="N129" s="12" t="str">
        <x:v>NO</x:v>
      </x:c>
      <x:c r="O129" s="12" t="str">
        <x:v>siFBN2-2</x:v>
      </x:c>
      <x:c r="P129" s="14" t="str"/>
      <x:c r="Q129" s="12" t="str">
        <x:v>siFBN2-2|||TBP</x:v>
      </x:c>
    </x:row>
    <x:row r="130">
      <x:c r="A130" s="12" t="str">
        <x:v>G9</x:v>
      </x:c>
      <x:c r="B130" s="12" t="str">
        <x:v>G</x:v>
      </x:c>
      <x:c r="C130" s="12" t="n">
        <x:v>9</x:v>
      </x:c>
      <x:c r="D130" s="12" t="str">
        <x:v>siFBN2-2</x:v>
      </x:c>
      <x:c r="E130" s="12" t="str">
        <x:v>FBN2-1</x:v>
      </x:c>
      <x:c r="F130" s="12" t="str">
        <x:v>Target</x:v>
      </x:c>
      <x:c r="G130" s="12" t="n">
        <x:v>1</x:v>
      </x:c>
      <x:c r="H130" s="13" t="n">
        <x:v>26.26</x:v>
      </x:c>
      <x:c r="I130" s="13" t="n">
        <x:v>78.91</x:v>
      </x:c>
      <x:c r="J130" s="13"/>
      <x:c r="K130" s="13" t="str">
        <x:v>2</x:v>
      </x:c>
      <x:c r="L130" s="13" t="n">
        <x:v>0.98</x:v>
      </x:c>
      <x:c r="M130" s="13" t="n">
        <x:v>0.54</x:v>
      </x:c>
      <x:c r="N130" s="12" t="str">
        <x:v>NO</x:v>
      </x:c>
      <x:c r="O130" s="12" t="str">
        <x:v>siFBN2-2</x:v>
      </x:c>
      <x:c r="P130" s="14" t="str"/>
      <x:c r="Q130" s="12" t="str">
        <x:v>siFBN2-2|||FBN2-1</x:v>
      </x:c>
    </x:row>
    <x:row r="131">
      <x:c r="A131" s="12" t="str">
        <x:v>G10</x:v>
      </x:c>
      <x:c r="B131" s="12" t="str">
        <x:v>G</x:v>
      </x:c>
      <x:c r="C131" s="12" t="n">
        <x:v>10</x:v>
      </x:c>
      <x:c r="D131" s="12" t="str">
        <x:v>siFBN2-2</x:v>
      </x:c>
      <x:c r="E131" s="12" t="str">
        <x:v>FBN2-1</x:v>
      </x:c>
      <x:c r="F131" s="12" t="str">
        <x:v>Target</x:v>
      </x:c>
      <x:c r="G131" s="12" t="n">
        <x:v>2</x:v>
      </x:c>
      <x:c r="H131" s="13" t="n">
        <x:v>26.49</x:v>
      </x:c>
      <x:c r="I131" s="13" t="n">
        <x:v>79.12</x:v>
      </x:c>
      <x:c r="J131" s="13"/>
      <x:c r="K131" s="13" t="str">
        <x:v>2</x:v>
      </x:c>
      <x:c r="L131" s="13" t="n">
        <x:v>1</x:v>
      </x:c>
      <x:c r="M131" s="13" t="n">
        <x:v>0.48</x:v>
      </x:c>
      <x:c r="N131" s="12" t="str">
        <x:v>NO</x:v>
      </x:c>
      <x:c r="O131" s="12" t="str">
        <x:v>siFBN2-2</x:v>
      </x:c>
      <x:c r="P131" s="14" t="str">
        <x:v>列10：修正板图备注‘可能加了两遍cDNA’，范围需实验记录确认</x:v>
      </x:c>
      <x:c r="Q131" s="12" t="str">
        <x:v>siFBN2-2|||FBN2-1</x:v>
      </x:c>
    </x:row>
    <x:row r="132">
      <x:c r="A132" s="12" t="str">
        <x:v>G11</x:v>
      </x:c>
      <x:c r="B132" s="12" t="str">
        <x:v>G</x:v>
      </x:c>
      <x:c r="C132" s="12" t="n">
        <x:v>11</x:v>
      </x:c>
      <x:c r="D132" s="12" t="str">
        <x:v>siFBN2-2</x:v>
      </x:c>
      <x:c r="E132" s="12" t="str">
        <x:v>FBN2-1</x:v>
      </x:c>
      <x:c r="F132" s="12" t="str">
        <x:v>Target</x:v>
      </x:c>
      <x:c r="G132" s="12" t="n">
        <x:v>3</x:v>
      </x:c>
      <x:c r="H132" s="13" t="n">
        <x:v>26.44</x:v>
      </x:c>
      <x:c r="I132" s="13" t="n">
        <x:v>79.17</x:v>
      </x:c>
      <x:c r="J132" s="13"/>
      <x:c r="K132" s="13" t="str">
        <x:v>2</x:v>
      </x:c>
      <x:c r="L132" s="13" t="n">
        <x:v>0.99</x:v>
      </x:c>
      <x:c r="M132" s="13" t="n">
        <x:v>0.46</x:v>
      </x:c>
      <x:c r="N132" s="12" t="str">
        <x:v>NO</x:v>
      </x:c>
      <x:c r="O132" s="12" t="str">
        <x:v>siFBN2-2</x:v>
      </x:c>
      <x:c r="P132" s="14" t="str"/>
      <x:c r="Q132" s="12" t="str">
        <x:v>siFBN2-2|||FBN2-1</x:v>
      </x:c>
    </x:row>
    <x:row r="133">
      <x:c r="A133" s="12" t="str">
        <x:v>G12</x:v>
      </x:c>
      <x:c r="B133" s="12" t="str">
        <x:v>G</x:v>
      </x:c>
      <x:c r="C133" s="12" t="n">
        <x:v>12</x:v>
      </x:c>
      <x:c r="D133" s="12" t="str">
        <x:v>siFBN2-2</x:v>
      </x:c>
      <x:c r="E133" s="12" t="str">
        <x:v>FBN2-1</x:v>
      </x:c>
      <x:c r="F133" s="12" t="str">
        <x:v>Target</x:v>
      </x:c>
      <x:c r="G133" s="12" t="n">
        <x:v>4</x:v>
      </x:c>
      <x:c r="H133" s="13" t="n">
        <x:v>26.48</x:v>
      </x:c>
      <x:c r="I133" s="13" t="n">
        <x:v>79.16</x:v>
      </x:c>
      <x:c r="J133" s="13"/>
      <x:c r="K133" s="13" t="str">
        <x:v>2</x:v>
      </x:c>
      <x:c r="L133" s="13" t="n">
        <x:v>0.99</x:v>
      </x:c>
      <x:c r="M133" s="13" t="n">
        <x:v>0.47</x:v>
      </x:c>
      <x:c r="N133" s="12" t="str">
        <x:v>NO</x:v>
      </x:c>
      <x:c r="O133" s="12" t="str">
        <x:v>siFBN2-2</x:v>
      </x:c>
      <x:c r="P133" s="14" t="str"/>
      <x:c r="Q133" s="12" t="str">
        <x:v>siFBN2-2|||FBN2-1</x:v>
      </x:c>
    </x:row>
    <x:row r="134">
      <x:c r="A134" s="12" t="str">
        <x:v>G13</x:v>
      </x:c>
      <x:c r="B134" s="12" t="str">
        <x:v>G</x:v>
      </x:c>
      <x:c r="C134" s="12" t="n">
        <x:v>13</x:v>
      </x:c>
      <x:c r="D134" s="12" t="str">
        <x:v>siFBN2-2</x:v>
      </x:c>
      <x:c r="E134" s="12" t="str">
        <x:v>FBN2-2</x:v>
      </x:c>
      <x:c r="F134" s="12" t="str">
        <x:v>Target</x:v>
      </x:c>
      <x:c r="G134" s="12" t="n">
        <x:v>1</x:v>
      </x:c>
      <x:c r="H134" s="13" t="n">
        <x:v>25.98</x:v>
      </x:c>
      <x:c r="I134" s="13" t="n">
        <x:v>83.32</x:v>
      </x:c>
      <x:c r="J134" s="13"/>
      <x:c r="K134" s="13" t="str">
        <x:v>1</x:v>
      </x:c>
      <x:c r="L134" s="13" t="n">
        <x:v>0.91</x:v>
      </x:c>
      <x:c r="M134" s="13" t="n">
        <x:v>0.11</x:v>
      </x:c>
      <x:c r="N134" s="12" t="str">
        <x:v>NO</x:v>
      </x:c>
      <x:c r="O134" s="12" t="str">
        <x:v>siFBN2-2</x:v>
      </x:c>
      <x:c r="P134" s="14" t="str"/>
      <x:c r="Q134" s="12" t="str">
        <x:v>siFBN2-2|||FBN2-2</x:v>
      </x:c>
    </x:row>
    <x:row r="135">
      <x:c r="A135" s="12" t="str">
        <x:v>G14</x:v>
      </x:c>
      <x:c r="B135" s="12" t="str">
        <x:v>G</x:v>
      </x:c>
      <x:c r="C135" s="12" t="n">
        <x:v>14</x:v>
      </x:c>
      <x:c r="D135" s="12" t="str">
        <x:v>siFBN2-3</x:v>
      </x:c>
      <x:c r="E135" s="12" t="str">
        <x:v>FBN2-2</x:v>
      </x:c>
      <x:c r="F135" s="12" t="str">
        <x:v>Target</x:v>
      </x:c>
      <x:c r="G135" s="12" t="n">
        <x:v>2</x:v>
      </x:c>
      <x:c r="H135" s="13" t="n">
        <x:v>27.1</x:v>
      </x:c>
      <x:c r="I135" s="13" t="n">
        <x:v>83.13</x:v>
      </x:c>
      <x:c r="J135" s="13"/>
      <x:c r="K135" s="13" t="str">
        <x:v>4</x:v>
      </x:c>
      <x:c r="L135" s="13" t="n">
        <x:v>0.95</x:v>
      </x:c>
      <x:c r="M135" s="13" t="n">
        <x:v>0.19</x:v>
      </x:c>
      <x:c r="N135" s="12" t="str">
        <x:v>YES</x:v>
      </x:c>
      <x:c r="O135" s="12" t="str">
        <x:v>siFBN2-2</x:v>
      </x:c>
      <x:c r="P135" s="14" t="str">
        <x:v>列14：cDNA样本整体向上错位一位，已按修正板图重映射</x:v>
      </x:c>
      <x:c r="Q135" s="12" t="str">
        <x:v>siFBN2-3|||FBN2-2</x:v>
      </x:c>
    </x:row>
    <x:row r="136">
      <x:c r="A136" s="12" t="str">
        <x:v>G15</x:v>
      </x:c>
      <x:c r="B136" s="12" t="str">
        <x:v>G</x:v>
      </x:c>
      <x:c r="C136" s="12" t="n">
        <x:v>15</x:v>
      </x:c>
      <x:c r="D136" s="12" t="str">
        <x:v>siFBN2-2</x:v>
      </x:c>
      <x:c r="E136" s="12" t="str">
        <x:v>FBN2-2</x:v>
      </x:c>
      <x:c r="F136" s="12" t="str">
        <x:v>Target</x:v>
      </x:c>
      <x:c r="G136" s="12" t="n">
        <x:v>3</x:v>
      </x:c>
      <x:c r="H136" s="13" t="n">
        <x:v>26.04</x:v>
      </x:c>
      <x:c r="I136" s="13" t="n">
        <x:v>83.47</x:v>
      </x:c>
      <x:c r="J136" s="13"/>
      <x:c r="K136" s="13" t="str">
        <x:v>1</x:v>
      </x:c>
      <x:c r="L136" s="13" t="n">
        <x:v>0.96</x:v>
      </x:c>
      <x:c r="M136" s="13" t="n">
        <x:v>0.24</x:v>
      </x:c>
      <x:c r="N136" s="12" t="str">
        <x:v>NO</x:v>
      </x:c>
      <x:c r="O136" s="12" t="str">
        <x:v>siFBN2-2</x:v>
      </x:c>
      <x:c r="P136" s="14" t="str"/>
      <x:c r="Q136" s="12" t="str">
        <x:v>siFBN2-2|||FBN2-2</x:v>
      </x:c>
    </x:row>
    <x:row r="137">
      <x:c r="A137" s="12" t="str">
        <x:v>G16</x:v>
      </x:c>
      <x:c r="B137" s="12" t="str">
        <x:v>G</x:v>
      </x:c>
      <x:c r="C137" s="12" t="n">
        <x:v>16</x:v>
      </x:c>
      <x:c r="D137" s="12" t="str">
        <x:v>siFBN2-2</x:v>
      </x:c>
      <x:c r="E137" s="12" t="str">
        <x:v>FBN2-2</x:v>
      </x:c>
      <x:c r="F137" s="12" t="str">
        <x:v>Target</x:v>
      </x:c>
      <x:c r="G137" s="12" t="n">
        <x:v>4</x:v>
      </x:c>
      <x:c r="H137" s="13" t="n">
        <x:v>26.13</x:v>
      </x:c>
      <x:c r="I137" s="13" t="n">
        <x:v>83.44</x:v>
      </x:c>
      <x:c r="J137" s="13"/>
      <x:c r="K137" s="13" t="str">
        <x:v>1</x:v>
      </x:c>
      <x:c r="L137" s="13" t="n">
        <x:v>0.93</x:v>
      </x:c>
      <x:c r="M137" s="13" t="n">
        <x:v>0.16</x:v>
      </x:c>
      <x:c r="N137" s="12" t="str">
        <x:v>NO</x:v>
      </x:c>
      <x:c r="O137" s="12" t="str">
        <x:v>siFBN2-2</x:v>
      </x:c>
      <x:c r="P137" s="14" t="str"/>
      <x:c r="Q137" s="12" t="str">
        <x:v>siFBN2-2|||FBN2-2</x:v>
      </x:c>
    </x:row>
    <x:row r="138">
      <x:c r="A138" s="12" t="str">
        <x:v>G17</x:v>
      </x:c>
      <x:c r="B138" s="12" t="str">
        <x:v>G</x:v>
      </x:c>
      <x:c r="C138" s="12" t="n">
        <x:v>17</x:v>
      </x:c>
      <x:c r="D138" s="12" t="str">
        <x:v>siFBN2-2</x:v>
      </x:c>
      <x:c r="E138" s="12" t="str">
        <x:v>ZNF436-1</x:v>
      </x:c>
      <x:c r="F138" s="12" t="str">
        <x:v>Target</x:v>
      </x:c>
      <x:c r="G138" s="12" t="n">
        <x:v>1</x:v>
      </x:c>
      <x:c r="H138" s="13" t="n">
        <x:v>27.57</x:v>
      </x:c>
      <x:c r="I138" s="13" t="n">
        <x:v>77.83</x:v>
      </x:c>
      <x:c r="J138" s="13"/>
      <x:c r="K138" s="13" t="str">
        <x:v>2</x:v>
      </x:c>
      <x:c r="L138" s="13" t="n">
        <x:v>0.99</x:v>
      </x:c>
      <x:c r="M138" s="13" t="n">
        <x:v>0.77</x:v>
      </x:c>
      <x:c r="N138" s="12" t="str">
        <x:v>NO</x:v>
      </x:c>
      <x:c r="O138" s="12" t="str">
        <x:v>siFBN2-2</x:v>
      </x:c>
      <x:c r="P138" s="14" t="str"/>
      <x:c r="Q138" s="12" t="str">
        <x:v>siFBN2-2|||ZNF436-1</x:v>
      </x:c>
    </x:row>
    <x:row r="139">
      <x:c r="A139" s="12" t="str">
        <x:v>G18</x:v>
      </x:c>
      <x:c r="B139" s="12" t="str">
        <x:v>G</x:v>
      </x:c>
      <x:c r="C139" s="12" t="n">
        <x:v>18</x:v>
      </x:c>
      <x:c r="D139" s="12" t="str">
        <x:v>siFBN2-2</x:v>
      </x:c>
      <x:c r="E139" s="12" t="str">
        <x:v>ZNF436-1</x:v>
      </x:c>
      <x:c r="F139" s="12" t="str">
        <x:v>Target</x:v>
      </x:c>
      <x:c r="G139" s="12" t="n">
        <x:v>2</x:v>
      </x:c>
      <x:c r="H139" s="13" t="n">
        <x:v>27.25</x:v>
      </x:c>
      <x:c r="I139" s="13" t="n">
        <x:v>77.94</x:v>
      </x:c>
      <x:c r="J139" s="13"/>
      <x:c r="K139" s="13" t="str">
        <x:v>2</x:v>
      </x:c>
      <x:c r="L139" s="13" t="n">
        <x:v>0.98</x:v>
      </x:c>
      <x:c r="M139" s="13" t="n">
        <x:v>0.78</x:v>
      </x:c>
      <x:c r="N139" s="12" t="str">
        <x:v>NO</x:v>
      </x:c>
      <x:c r="O139" s="12" t="str">
        <x:v>siFBN2-2</x:v>
      </x:c>
      <x:c r="P139" s="14" t="str"/>
      <x:c r="Q139" s="12" t="str">
        <x:v>siFBN2-2|||ZNF436-1</x:v>
      </x:c>
    </x:row>
    <x:row r="140">
      <x:c r="A140" s="12" t="str">
        <x:v>G19</x:v>
      </x:c>
      <x:c r="B140" s="12" t="str">
        <x:v>G</x:v>
      </x:c>
      <x:c r="C140" s="12" t="n">
        <x:v>19</x:v>
      </x:c>
      <x:c r="D140" s="12" t="str">
        <x:v>siFBN2-2</x:v>
      </x:c>
      <x:c r="E140" s="12" t="str">
        <x:v>ZNF436-1</x:v>
      </x:c>
      <x:c r="F140" s="12" t="str">
        <x:v>Target</x:v>
      </x:c>
      <x:c r="G140" s="12" t="n">
        <x:v>3</x:v>
      </x:c>
      <x:c r="H140" s="13" t="n">
        <x:v>27.55</x:v>
      </x:c>
      <x:c r="I140" s="13" t="n">
        <x:v>77.96</x:v>
      </x:c>
      <x:c r="J140" s="13"/>
      <x:c r="K140" s="13" t="str">
        <x:v>2</x:v>
      </x:c>
      <x:c r="L140" s="13" t="n">
        <x:v>0.98</x:v>
      </x:c>
      <x:c r="M140" s="13" t="n">
        <x:v>0.76</x:v>
      </x:c>
      <x:c r="N140" s="12" t="str">
        <x:v>NO</x:v>
      </x:c>
      <x:c r="O140" s="12" t="str">
        <x:v>siFBN2-2</x:v>
      </x:c>
      <x:c r="P140" s="14" t="str"/>
      <x:c r="Q140" s="12" t="str">
        <x:v>siFBN2-2|||ZNF436-1</x:v>
      </x:c>
    </x:row>
    <x:row r="141">
      <x:c r="A141" s="12" t="str">
        <x:v>G20</x:v>
      </x:c>
      <x:c r="B141" s="12" t="str">
        <x:v>G</x:v>
      </x:c>
      <x:c r="C141" s="12" t="n">
        <x:v>20</x:v>
      </x:c>
      <x:c r="D141" s="12" t="str">
        <x:v>siFBN2-2</x:v>
      </x:c>
      <x:c r="E141" s="12" t="str">
        <x:v>ZNF436-1</x:v>
      </x:c>
      <x:c r="F141" s="12" t="str">
        <x:v>Target</x:v>
      </x:c>
      <x:c r="G141" s="12" t="n">
        <x:v>4</x:v>
      </x:c>
      <x:c r="H141" s="13" t="n">
        <x:v>27.45</x:v>
      </x:c>
      <x:c r="I141" s="13" t="n">
        <x:v>77.97</x:v>
      </x:c>
      <x:c r="J141" s="13"/>
      <x:c r="K141" s="13" t="str">
        <x:v>2</x:v>
      </x:c>
      <x:c r="L141" s="13" t="n">
        <x:v>0.98</x:v>
      </x:c>
      <x:c r="M141" s="13" t="n">
        <x:v>0.77</x:v>
      </x:c>
      <x:c r="N141" s="12" t="str">
        <x:v>NO</x:v>
      </x:c>
      <x:c r="O141" s="12" t="str">
        <x:v>siFBN2-2</x:v>
      </x:c>
      <x:c r="P141" s="14" t="str"/>
      <x:c r="Q141" s="12" t="str">
        <x:v>siFBN2-2|||ZNF436-1</x:v>
      </x:c>
    </x:row>
    <x:row r="142">
      <x:c r="A142" s="12" t="str">
        <x:v>G21</x:v>
      </x:c>
      <x:c r="B142" s="12" t="str">
        <x:v>G</x:v>
      </x:c>
      <x:c r="C142" s="12" t="n">
        <x:v>21</x:v>
      </x:c>
      <x:c r="D142" s="12" t="str">
        <x:v>siFBN2-2</x:v>
      </x:c>
      <x:c r="E142" s="12" t="str">
        <x:v>ZNF436-2</x:v>
      </x:c>
      <x:c r="F142" s="12" t="str">
        <x:v>Target</x:v>
      </x:c>
      <x:c r="G142" s="12" t="n">
        <x:v>1</x:v>
      </x:c>
      <x:c r="H142" s="13" t="n">
        <x:v>26.47</x:v>
      </x:c>
      <x:c r="I142" s="13" t="n">
        <x:v>73.3</x:v>
      </x:c>
      <x:c r="J142" s="13"/>
      <x:c r="K142" s="13" t="str">
        <x:v>3</x:v>
      </x:c>
      <x:c r="L142" s="13" t="n">
        <x:v>0.89</x:v>
      </x:c>
      <x:c r="M142" s="13" t="n">
        <x:v>0.87</x:v>
      </x:c>
      <x:c r="N142" s="12" t="str">
        <x:v>NO</x:v>
      </x:c>
      <x:c r="O142" s="12" t="str">
        <x:v>siFBN2-2</x:v>
      </x:c>
      <x:c r="P142" s="14" t="str"/>
      <x:c r="Q142" s="12" t="str">
        <x:v>siFBN2-2|||ZNF436-2</x:v>
      </x:c>
    </x:row>
    <x:row r="143">
      <x:c r="A143" s="12" t="str">
        <x:v>G22</x:v>
      </x:c>
      <x:c r="B143" s="12" t="str">
        <x:v>G</x:v>
      </x:c>
      <x:c r="C143" s="12" t="n">
        <x:v>22</x:v>
      </x:c>
      <x:c r="D143" s="12" t="str">
        <x:v>siFBN2-2</x:v>
      </x:c>
      <x:c r="E143" s="12" t="str">
        <x:v>ZNF436-2</x:v>
      </x:c>
      <x:c r="F143" s="12" t="str">
        <x:v>Target</x:v>
      </x:c>
      <x:c r="G143" s="12" t="n">
        <x:v>2</x:v>
      </x:c>
      <x:c r="H143" s="13" t="n">
        <x:v>26.46</x:v>
      </x:c>
      <x:c r="I143" s="13" t="n">
        <x:v>73.18</x:v>
      </x:c>
      <x:c r="J143" s="13"/>
      <x:c r="K143" s="13" t="str">
        <x:v>3</x:v>
      </x:c>
      <x:c r="L143" s="13" t="n">
        <x:v>0.92</x:v>
      </x:c>
      <x:c r="M143" s="13" t="n">
        <x:v>0.9</x:v>
      </x:c>
      <x:c r="N143" s="12" t="str">
        <x:v>NO</x:v>
      </x:c>
      <x:c r="O143" s="12" t="str">
        <x:v>siFBN2-2</x:v>
      </x:c>
      <x:c r="P143" s="14" t="str"/>
      <x:c r="Q143" s="12" t="str">
        <x:v>siFBN2-2|||ZNF436-2</x:v>
      </x:c>
    </x:row>
    <x:row r="144">
      <x:c r="A144" s="12" t="str">
        <x:v>G23</x:v>
      </x:c>
      <x:c r="B144" s="12" t="str">
        <x:v>G</x:v>
      </x:c>
      <x:c r="C144" s="12" t="n">
        <x:v>23</x:v>
      </x:c>
      <x:c r="D144" s="12" t="str">
        <x:v>siFBN2-2</x:v>
      </x:c>
      <x:c r="E144" s="12" t="str">
        <x:v>ZNF436-2</x:v>
      </x:c>
      <x:c r="F144" s="12" t="str">
        <x:v>Target</x:v>
      </x:c>
      <x:c r="G144" s="12" t="n">
        <x:v>3</x:v>
      </x:c>
      <x:c r="H144" s="13" t="n">
        <x:v>26.65</x:v>
      </x:c>
      <x:c r="I144" s="13" t="n">
        <x:v>73.1</x:v>
      </x:c>
      <x:c r="J144" s="13"/>
      <x:c r="K144" s="13" t="str">
        <x:v>3</x:v>
      </x:c>
      <x:c r="L144" s="13" t="n">
        <x:v>0.89</x:v>
      </x:c>
      <x:c r="M144" s="13" t="n">
        <x:v>0.88</x:v>
      </x:c>
      <x:c r="N144" s="12" t="str">
        <x:v>NO</x:v>
      </x:c>
      <x:c r="O144" s="12" t="str">
        <x:v>siFBN2-2</x:v>
      </x:c>
      <x:c r="P144" s="14" t="str"/>
      <x:c r="Q144" s="12" t="str">
        <x:v>siFBN2-2|||ZNF436-2</x:v>
      </x:c>
    </x:row>
    <x:row r="145">
      <x:c r="A145" s="12" t="str">
        <x:v>G24</x:v>
      </x:c>
      <x:c r="B145" s="12" t="str">
        <x:v>G</x:v>
      </x:c>
      <x:c r="C145" s="12" t="n">
        <x:v>24</x:v>
      </x:c>
      <x:c r="D145" s="12" t="str">
        <x:v>siFBN2-2</x:v>
      </x:c>
      <x:c r="E145" s="12" t="str">
        <x:v>ZNF436-2</x:v>
      </x:c>
      <x:c r="F145" s="12" t="str">
        <x:v>Target</x:v>
      </x:c>
      <x:c r="G145" s="12" t="n">
        <x:v>4</x:v>
      </x:c>
      <x:c r="H145" s="13" t="n">
        <x:v>26.69</x:v>
      </x:c>
      <x:c r="I145" s="13" t="n">
        <x:v>73.2</x:v>
      </x:c>
      <x:c r="J145" s="13"/>
      <x:c r="K145" s="13" t="str">
        <x:v>3</x:v>
      </x:c>
      <x:c r="L145" s="13" t="n">
        <x:v>0.93</x:v>
      </x:c>
      <x:c r="M145" s="13" t="n">
        <x:v>0.91</x:v>
      </x:c>
      <x:c r="N145" s="12" t="str">
        <x:v>NO</x:v>
      </x:c>
      <x:c r="O145" s="12" t="str">
        <x:v>siFBN2-2</x:v>
      </x:c>
      <x:c r="P145" s="14" t="str"/>
      <x:c r="Q145" s="12" t="str">
        <x:v>siFBN2-2|||ZNF436-2</x:v>
      </x:c>
    </x:row>
    <x:row r="146">
      <x:c r="A146" s="12" t="str">
        <x:v>I1</x:v>
      </x:c>
      <x:c r="B146" s="12" t="str">
        <x:v>I</x:v>
      </x:c>
      <x:c r="C146" s="12" t="n">
        <x:v>1</x:v>
      </x:c>
      <x:c r="D146" s="12" t="str">
        <x:v>siFBN2-3</x:v>
      </x:c>
      <x:c r="E146" s="12" t="str">
        <x:v>GAPDH</x:v>
      </x:c>
      <x:c r="F146" s="12" t="str">
        <x:v>Reference</x:v>
      </x:c>
      <x:c r="G146" s="12" t="n">
        <x:v>1</x:v>
      </x:c>
      <x:c r="H146" s="13" t="n">
        <x:v>15.95</x:v>
      </x:c>
      <x:c r="I146" s="13" t="n">
        <x:v>85.96</x:v>
      </x:c>
      <x:c r="J146" s="13"/>
      <x:c r="K146" s="13" t="str">
        <x:v>1</x:v>
      </x:c>
      <x:c r="L146" s="13" t="n">
        <x:v>0.81</x:v>
      </x:c>
      <x:c r="M146" s="13" t="n">
        <x:v>0.49</x:v>
      </x:c>
      <x:c r="N146" s="12" t="str">
        <x:v>NO</x:v>
      </x:c>
      <x:c r="O146" s="12" t="str">
        <x:v>siFBN2-3</x:v>
      </x:c>
      <x:c r="P146" s="14" t="str"/>
      <x:c r="Q146" s="12" t="str">
        <x:v>siFBN2-3|||GAPDH</x:v>
      </x:c>
    </x:row>
    <x:row r="147">
      <x:c r="A147" s="12" t="str">
        <x:v>I2</x:v>
      </x:c>
      <x:c r="B147" s="12" t="str">
        <x:v>I</x:v>
      </x:c>
      <x:c r="C147" s="12" t="n">
        <x:v>2</x:v>
      </x:c>
      <x:c r="D147" s="12" t="str">
        <x:v>siFBN2-3</x:v>
      </x:c>
      <x:c r="E147" s="12" t="str">
        <x:v>GAPDH</x:v>
      </x:c>
      <x:c r="F147" s="12" t="str">
        <x:v>Reference</x:v>
      </x:c>
      <x:c r="G147" s="12" t="n">
        <x:v>2</x:v>
      </x:c>
      <x:c r="H147" s="13" t="n">
        <x:v>15.89</x:v>
      </x:c>
      <x:c r="I147" s="13" t="n">
        <x:v>86.02</x:v>
      </x:c>
      <x:c r="J147" s="13"/>
      <x:c r="K147" s="13" t="str">
        <x:v>1</x:v>
      </x:c>
      <x:c r="L147" s="13" t="n">
        <x:v>0.87</x:v>
      </x:c>
      <x:c r="M147" s="13" t="n">
        <x:v>0.49</x:v>
      </x:c>
      <x:c r="N147" s="12" t="str">
        <x:v>NO</x:v>
      </x:c>
      <x:c r="O147" s="12" t="str">
        <x:v>siFBN2-3</x:v>
      </x:c>
      <x:c r="P147" s="14" t="str"/>
      <x:c r="Q147" s="12" t="str">
        <x:v>siFBN2-3|||GAPDH</x:v>
      </x:c>
    </x:row>
    <x:row r="148">
      <x:c r="A148" s="12" t="str">
        <x:v>I3</x:v>
      </x:c>
      <x:c r="B148" s="12" t="str">
        <x:v>I</x:v>
      </x:c>
      <x:c r="C148" s="12" t="n">
        <x:v>3</x:v>
      </x:c>
      <x:c r="D148" s="12" t="str">
        <x:v>siFBN2-3</x:v>
      </x:c>
      <x:c r="E148" s="12" t="str">
        <x:v>GAPDH</x:v>
      </x:c>
      <x:c r="F148" s="12" t="str">
        <x:v>Reference</x:v>
      </x:c>
      <x:c r="G148" s="12" t="n">
        <x:v>3</x:v>
      </x:c>
      <x:c r="H148" s="13" t="n">
        <x:v>16.01</x:v>
      </x:c>
      <x:c r="I148" s="13" t="n">
        <x:v>86.02</x:v>
      </x:c>
      <x:c r="J148" s="13"/>
      <x:c r="K148" s="13" t="str">
        <x:v>1</x:v>
      </x:c>
      <x:c r="L148" s="13" t="n">
        <x:v>0.88</x:v>
      </x:c>
      <x:c r="M148" s="13" t="n">
        <x:v>0.49</x:v>
      </x:c>
      <x:c r="N148" s="12" t="str">
        <x:v>NO</x:v>
      </x:c>
      <x:c r="O148" s="12" t="str">
        <x:v>siFBN2-3</x:v>
      </x:c>
      <x:c r="P148" s="14" t="str"/>
      <x:c r="Q148" s="12" t="str">
        <x:v>siFBN2-3|||GAPDH</x:v>
      </x:c>
    </x:row>
    <x:row r="149">
      <x:c r="A149" s="12" t="str">
        <x:v>I4</x:v>
      </x:c>
      <x:c r="B149" s="12" t="str">
        <x:v>I</x:v>
      </x:c>
      <x:c r="C149" s="12" t="n">
        <x:v>4</x:v>
      </x:c>
      <x:c r="D149" s="12" t="str">
        <x:v>siFBN2-3</x:v>
      </x:c>
      <x:c r="E149" s="12" t="str">
        <x:v>GAPDH</x:v>
      </x:c>
      <x:c r="F149" s="12" t="str">
        <x:v>Reference</x:v>
      </x:c>
      <x:c r="G149" s="12" t="n">
        <x:v>4</x:v>
      </x:c>
      <x:c r="H149" s="13" t="n">
        <x:v>15.98</x:v>
      </x:c>
      <x:c r="I149" s="13" t="n">
        <x:v>86.01</x:v>
      </x:c>
      <x:c r="J149" s="13"/>
      <x:c r="K149" s="13" t="str">
        <x:v>1</x:v>
      </x:c>
      <x:c r="L149" s="13" t="n">
        <x:v>0.88</x:v>
      </x:c>
      <x:c r="M149" s="13" t="n">
        <x:v>0.49</x:v>
      </x:c>
      <x:c r="N149" s="12" t="str">
        <x:v>NO</x:v>
      </x:c>
      <x:c r="O149" s="12" t="str">
        <x:v>siFBN2-3</x:v>
      </x:c>
      <x:c r="P149" s="14" t="str"/>
      <x:c r="Q149" s="12" t="str">
        <x:v>siFBN2-3|||GAPDH</x:v>
      </x:c>
    </x:row>
    <x:row r="150">
      <x:c r="A150" s="12" t="str">
        <x:v>I5</x:v>
      </x:c>
      <x:c r="B150" s="12" t="str">
        <x:v>I</x:v>
      </x:c>
      <x:c r="C150" s="12" t="n">
        <x:v>5</x:v>
      </x:c>
      <x:c r="D150" s="12" t="str">
        <x:v>siFBN2-3</x:v>
      </x:c>
      <x:c r="E150" s="12" t="str">
        <x:v>TBP</x:v>
      </x:c>
      <x:c r="F150" s="12" t="str">
        <x:v>Reference</x:v>
      </x:c>
      <x:c r="G150" s="12" t="n">
        <x:v>1</x:v>
      </x:c>
      <x:c r="H150" s="13" t="n">
        <x:v>24.83</x:v>
      </x:c>
      <x:c r="I150" s="13" t="n">
        <x:v>80.29</x:v>
      </x:c>
      <x:c r="J150" s="13"/>
      <x:c r="K150" s="13" t="str">
        <x:v>1</x:v>
      </x:c>
      <x:c r="L150" s="13" t="n">
        <x:v>0.98</x:v>
      </x:c>
      <x:c r="M150" s="13" t="n">
        <x:v>0.17</x:v>
      </x:c>
      <x:c r="N150" s="12" t="str">
        <x:v>NO</x:v>
      </x:c>
      <x:c r="O150" s="12" t="str">
        <x:v>siFBN2-3</x:v>
      </x:c>
      <x:c r="P150" s="14" t="str"/>
      <x:c r="Q150" s="12" t="str">
        <x:v>siFBN2-3|||TBP</x:v>
      </x:c>
    </x:row>
    <x:row r="151">
      <x:c r="A151" s="12" t="str">
        <x:v>I6</x:v>
      </x:c>
      <x:c r="B151" s="12" t="str">
        <x:v>I</x:v>
      </x:c>
      <x:c r="C151" s="12" t="n">
        <x:v>6</x:v>
      </x:c>
      <x:c r="D151" s="12" t="str">
        <x:v>siFBN2-3</x:v>
      </x:c>
      <x:c r="E151" s="12" t="str">
        <x:v>TBP</x:v>
      </x:c>
      <x:c r="F151" s="12" t="str">
        <x:v>Reference</x:v>
      </x:c>
      <x:c r="G151" s="12" t="n">
        <x:v>2</x:v>
      </x:c>
      <x:c r="H151" s="13" t="n">
        <x:v>24.85</x:v>
      </x:c>
      <x:c r="I151" s="13" t="n">
        <x:v>80.36</x:v>
      </x:c>
      <x:c r="J151" s="13"/>
      <x:c r="K151" s="13" t="str">
        <x:v>1</x:v>
      </x:c>
      <x:c r="L151" s="13" t="n">
        <x:v>0.98</x:v>
      </x:c>
      <x:c r="M151" s="13" t="n">
        <x:v>0.16</x:v>
      </x:c>
      <x:c r="N151" s="12" t="str">
        <x:v>NO</x:v>
      </x:c>
      <x:c r="O151" s="12" t="str">
        <x:v>siFBN2-3</x:v>
      </x:c>
      <x:c r="P151" s="14" t="str"/>
      <x:c r="Q151" s="12" t="str">
        <x:v>siFBN2-3|||TBP</x:v>
      </x:c>
    </x:row>
    <x:row r="152">
      <x:c r="A152" s="12" t="str">
        <x:v>I7</x:v>
      </x:c>
      <x:c r="B152" s="12" t="str">
        <x:v>I</x:v>
      </x:c>
      <x:c r="C152" s="12" t="n">
        <x:v>7</x:v>
      </x:c>
      <x:c r="D152" s="12" t="str">
        <x:v>siFBN2-3</x:v>
      </x:c>
      <x:c r="E152" s="12" t="str">
        <x:v>TBP</x:v>
      </x:c>
      <x:c r="F152" s="12" t="str">
        <x:v>Reference</x:v>
      </x:c>
      <x:c r="G152" s="12" t="n">
        <x:v>3</x:v>
      </x:c>
      <x:c r="H152" s="13" t="n">
        <x:v>24.88</x:v>
      </x:c>
      <x:c r="I152" s="13" t="n">
        <x:v>80.36</x:v>
      </x:c>
      <x:c r="J152" s="13"/>
      <x:c r="K152" s="13" t="str">
        <x:v>1</x:v>
      </x:c>
      <x:c r="L152" s="13" t="n">
        <x:v>0.98</x:v>
      </x:c>
      <x:c r="M152" s="13" t="n">
        <x:v>0.16</x:v>
      </x:c>
      <x:c r="N152" s="12" t="str">
        <x:v>NO</x:v>
      </x:c>
      <x:c r="O152" s="12" t="str">
        <x:v>siFBN2-3</x:v>
      </x:c>
      <x:c r="P152" s="14" t="str"/>
      <x:c r="Q152" s="12" t="str">
        <x:v>siFBN2-3|||TBP</x:v>
      </x:c>
    </x:row>
    <x:row r="153">
      <x:c r="A153" s="12" t="str">
        <x:v>I8</x:v>
      </x:c>
      <x:c r="B153" s="12" t="str">
        <x:v>I</x:v>
      </x:c>
      <x:c r="C153" s="12" t="n">
        <x:v>8</x:v>
      </x:c>
      <x:c r="D153" s="12" t="str">
        <x:v>siFBN2-3</x:v>
      </x:c>
      <x:c r="E153" s="12" t="str">
        <x:v>TBP</x:v>
      </x:c>
      <x:c r="F153" s="12" t="str">
        <x:v>Reference</x:v>
      </x:c>
      <x:c r="G153" s="12" t="n">
        <x:v>4</x:v>
      </x:c>
      <x:c r="H153" s="13" t="n">
        <x:v>24.9</x:v>
      </x:c>
      <x:c r="I153" s="13" t="n">
        <x:v>80.32</x:v>
      </x:c>
      <x:c r="J153" s="13"/>
      <x:c r="K153" s="13" t="str">
        <x:v>1</x:v>
      </x:c>
      <x:c r="L153" s="13" t="n">
        <x:v>0.98</x:v>
      </x:c>
      <x:c r="M153" s="13" t="n">
        <x:v>0.15</x:v>
      </x:c>
      <x:c r="N153" s="12" t="str">
        <x:v>NO</x:v>
      </x:c>
      <x:c r="O153" s="12" t="str">
        <x:v>siFBN2-3</x:v>
      </x:c>
      <x:c r="P153" s="14" t="str"/>
      <x:c r="Q153" s="12" t="str">
        <x:v>siFBN2-3|||TBP</x:v>
      </x:c>
    </x:row>
    <x:row r="154">
      <x:c r="A154" s="12" t="str">
        <x:v>I9</x:v>
      </x:c>
      <x:c r="B154" s="12" t="str">
        <x:v>I</x:v>
      </x:c>
      <x:c r="C154" s="12" t="n">
        <x:v>9</x:v>
      </x:c>
      <x:c r="D154" s="12" t="str">
        <x:v>siFBN2-3</x:v>
      </x:c>
      <x:c r="E154" s="12" t="str">
        <x:v>FBN2-1</x:v>
      </x:c>
      <x:c r="F154" s="12" t="str">
        <x:v>Target</x:v>
      </x:c>
      <x:c r="G154" s="12" t="n">
        <x:v>1</x:v>
      </x:c>
      <x:c r="H154" s="13" t="n">
        <x:v>26.95</x:v>
      </x:c>
      <x:c r="I154" s="13" t="n">
        <x:v>78.75</x:v>
      </x:c>
      <x:c r="J154" s="13"/>
      <x:c r="K154" s="13" t="str">
        <x:v>2</x:v>
      </x:c>
      <x:c r="L154" s="13" t="n">
        <x:v>0.94</x:v>
      </x:c>
      <x:c r="M154" s="13" t="n">
        <x:v>0.57</x:v>
      </x:c>
      <x:c r="N154" s="12" t="str">
        <x:v>NO</x:v>
      </x:c>
      <x:c r="O154" s="12" t="str">
        <x:v>siFBN2-3</x:v>
      </x:c>
      <x:c r="P154" s="14" t="str"/>
      <x:c r="Q154" s="12" t="str">
        <x:v>siFBN2-3|||FBN2-1</x:v>
      </x:c>
    </x:row>
    <x:row r="155">
      <x:c r="A155" s="12" t="str">
        <x:v>I10</x:v>
      </x:c>
      <x:c r="B155" s="12" t="str">
        <x:v>I</x:v>
      </x:c>
      <x:c r="C155" s="12" t="n">
        <x:v>10</x:v>
      </x:c>
      <x:c r="D155" s="12" t="str">
        <x:v>siFBN2-3</x:v>
      </x:c>
      <x:c r="E155" s="12" t="str">
        <x:v>FBN2-1</x:v>
      </x:c>
      <x:c r="F155" s="12" t="str">
        <x:v>Target</x:v>
      </x:c>
      <x:c r="G155" s="12" t="n">
        <x:v>2</x:v>
      </x:c>
      <x:c r="H155" s="13" t="n">
        <x:v>27.06</x:v>
      </x:c>
      <x:c r="I155" s="13" t="n">
        <x:v>79.07</x:v>
      </x:c>
      <x:c r="J155" s="13"/>
      <x:c r="K155" s="13" t="str">
        <x:v>2</x:v>
      </x:c>
      <x:c r="L155" s="13" t="n">
        <x:v>0.98</x:v>
      </x:c>
      <x:c r="M155" s="13" t="n">
        <x:v>0.47</x:v>
      </x:c>
      <x:c r="N155" s="12" t="str">
        <x:v>NO</x:v>
      </x:c>
      <x:c r="O155" s="12" t="str">
        <x:v>siFBN2-3</x:v>
      </x:c>
      <x:c r="P155" s="14" t="str">
        <x:v>列10：修正板图备注‘可能加了两遍cDNA’，范围需实验记录确认</x:v>
      </x:c>
      <x:c r="Q155" s="12" t="str">
        <x:v>siFBN2-3|||FBN2-1</x:v>
      </x:c>
    </x:row>
    <x:row r="156">
      <x:c r="A156" s="12" t="str">
        <x:v>I11</x:v>
      </x:c>
      <x:c r="B156" s="12" t="str">
        <x:v>I</x:v>
      </x:c>
      <x:c r="C156" s="12" t="n">
        <x:v>11</x:v>
      </x:c>
      <x:c r="D156" s="12" t="str">
        <x:v>siFBN2-3</x:v>
      </x:c>
      <x:c r="E156" s="12" t="str">
        <x:v>FBN2-1</x:v>
      </x:c>
      <x:c r="F156" s="12" t="str">
        <x:v>Target</x:v>
      </x:c>
      <x:c r="G156" s="12" t="n">
        <x:v>3</x:v>
      </x:c>
      <x:c r="H156" s="13" t="n">
        <x:v>27.27</x:v>
      </x:c>
      <x:c r="I156" s="13" t="n">
        <x:v>79.01</x:v>
      </x:c>
      <x:c r="J156" s="13"/>
      <x:c r="K156" s="13" t="str">
        <x:v>2</x:v>
      </x:c>
      <x:c r="L156" s="13" t="n">
        <x:v>0.97</x:v>
      </x:c>
      <x:c r="M156" s="13" t="n">
        <x:v>0.48</x:v>
      </x:c>
      <x:c r="N156" s="12" t="str">
        <x:v>NO</x:v>
      </x:c>
      <x:c r="O156" s="12" t="str">
        <x:v>siFBN2-3</x:v>
      </x:c>
      <x:c r="P156" s="14" t="str"/>
      <x:c r="Q156" s="12" t="str">
        <x:v>siFBN2-3|||FBN2-1</x:v>
      </x:c>
    </x:row>
    <x:row r="157">
      <x:c r="A157" s="12" t="str">
        <x:v>I12</x:v>
      </x:c>
      <x:c r="B157" s="12" t="str">
        <x:v>I</x:v>
      </x:c>
      <x:c r="C157" s="12" t="n">
        <x:v>12</x:v>
      </x:c>
      <x:c r="D157" s="12" t="str">
        <x:v>siFBN2-3</x:v>
      </x:c>
      <x:c r="E157" s="12" t="str">
        <x:v>FBN2-1</x:v>
      </x:c>
      <x:c r="F157" s="12" t="str">
        <x:v>Target</x:v>
      </x:c>
      <x:c r="G157" s="12" t="n">
        <x:v>4</x:v>
      </x:c>
      <x:c r="H157" s="13" t="n">
        <x:v>27.09</x:v>
      </x:c>
      <x:c r="I157" s="13" t="n">
        <x:v>78.93</x:v>
      </x:c>
      <x:c r="J157" s="13"/>
      <x:c r="K157" s="13" t="str">
        <x:v>2</x:v>
      </x:c>
      <x:c r="L157" s="13" t="n">
        <x:v>0.98</x:v>
      </x:c>
      <x:c r="M157" s="13" t="n">
        <x:v>0.54</x:v>
      </x:c>
      <x:c r="N157" s="12" t="str">
        <x:v>NO</x:v>
      </x:c>
      <x:c r="O157" s="12" t="str">
        <x:v>siFBN2-3</x:v>
      </x:c>
      <x:c r="P157" s="14" t="str"/>
      <x:c r="Q157" s="12" t="str">
        <x:v>siFBN2-3|||FBN2-1</x:v>
      </x:c>
    </x:row>
    <x:row r="158">
      <x:c r="A158" s="12" t="str">
        <x:v>I13</x:v>
      </x:c>
      <x:c r="B158" s="12" t="str">
        <x:v>I</x:v>
      </x:c>
      <x:c r="C158" s="12" t="n">
        <x:v>13</x:v>
      </x:c>
      <x:c r="D158" s="12" t="str">
        <x:v>siFBN2-3</x:v>
      </x:c>
      <x:c r="E158" s="12" t="str">
        <x:v>FBN2-2</x:v>
      </x:c>
      <x:c r="F158" s="12" t="str">
        <x:v>Target</x:v>
      </x:c>
      <x:c r="G158" s="12" t="n">
        <x:v>1</x:v>
      </x:c>
      <x:c r="H158" s="13" t="n">
        <x:v>26.97</x:v>
      </x:c>
      <x:c r="I158" s="13" t="n">
        <x:v>76.89</x:v>
      </x:c>
      <x:c r="J158" s="13" t="n">
        <x:v>82.89</x:v>
      </x:c>
      <x:c r="K158" s="13" t="str">
        <x:v>4</x:v>
      </x:c>
      <x:c r="L158" s="13" t="n">
        <x:v>0.99</x:v>
      </x:c>
      <x:c r="M158" s="13" t="n">
        <x:v>0.35</x:v>
      </x:c>
      <x:c r="N158" s="12" t="str">
        <x:v>NO</x:v>
      </x:c>
      <x:c r="O158" s="12" t="str">
        <x:v>siFBN2-3</x:v>
      </x:c>
      <x:c r="P158" s="14" t="str"/>
      <x:c r="Q158" s="12" t="str">
        <x:v>siFBN2-3|||FBN2-2</x:v>
      </x:c>
    </x:row>
    <x:row r="159">
      <x:c r="A159" s="12" t="str">
        <x:v>I14</x:v>
      </x:c>
      <x:c r="B159" s="12" t="str">
        <x:v>I</x:v>
      </x:c>
      <x:c r="C159" s="12" t="n">
        <x:v>14</x:v>
      </x:c>
      <x:c r="D159" s="12" t="str">
        <x:v>siFBN2-4</x:v>
      </x:c>
      <x:c r="E159" s="12" t="str">
        <x:v>FBN2-2</x:v>
      </x:c>
      <x:c r="F159" s="12" t="str">
        <x:v>Target</x:v>
      </x:c>
      <x:c r="G159" s="12" t="n">
        <x:v>2</x:v>
      </x:c>
      <x:c r="H159" s="13" t="n">
        <x:v>27.23</x:v>
      </x:c>
      <x:c r="I159" s="13" t="n">
        <x:v>76.06</x:v>
      </x:c>
      <x:c r="J159" s="13" t="n">
        <x:v>82.89</x:v>
      </x:c>
      <x:c r="K159" s="13" t="str">
        <x:v>4</x:v>
      </x:c>
      <x:c r="L159" s="13" t="n">
        <x:v>0.99</x:v>
      </x:c>
      <x:c r="M159" s="13" t="n">
        <x:v>0.41</x:v>
      </x:c>
      <x:c r="N159" s="12" t="str">
        <x:v>YES</x:v>
      </x:c>
      <x:c r="O159" s="12" t="str">
        <x:v>siFBN2-3</x:v>
      </x:c>
      <x:c r="P159" s="14" t="str">
        <x:v>列14：cDNA样本整体向上错位一位，已按修正板图重映射</x:v>
      </x:c>
      <x:c r="Q159" s="12" t="str">
        <x:v>siFBN2-4|||FBN2-2</x:v>
      </x:c>
    </x:row>
    <x:row r="160">
      <x:c r="A160" s="12" t="str">
        <x:v>I15</x:v>
      </x:c>
      <x:c r="B160" s="12" t="str">
        <x:v>I</x:v>
      </x:c>
      <x:c r="C160" s="12" t="n">
        <x:v>15</x:v>
      </x:c>
      <x:c r="D160" s="12" t="str">
        <x:v>siFBN2-3</x:v>
      </x:c>
      <x:c r="E160" s="12" t="str">
        <x:v>FBN2-2</x:v>
      </x:c>
      <x:c r="F160" s="12" t="str">
        <x:v>Target</x:v>
      </x:c>
      <x:c r="G160" s="12" t="n">
        <x:v>3</x:v>
      </x:c>
      <x:c r="H160" s="13" t="n">
        <x:v>26.95</x:v>
      </x:c>
      <x:c r="I160" s="13" t="n">
        <x:v>77.22</x:v>
      </x:c>
      <x:c r="J160" s="13" t="n">
        <x:v>83.09</x:v>
      </x:c>
      <x:c r="K160" s="13" t="str">
        <x:v>4</x:v>
      </x:c>
      <x:c r="L160" s="13" t="n">
        <x:v>0.98</x:v>
      </x:c>
      <x:c r="M160" s="13" t="n">
        <x:v>0.31</x:v>
      </x:c>
      <x:c r="N160" s="12" t="str">
        <x:v>NO</x:v>
      </x:c>
      <x:c r="O160" s="12" t="str">
        <x:v>siFBN2-3</x:v>
      </x:c>
      <x:c r="P160" s="14" t="str"/>
      <x:c r="Q160" s="12" t="str">
        <x:v>siFBN2-3|||FBN2-2</x:v>
      </x:c>
    </x:row>
    <x:row r="161">
      <x:c r="A161" s="12" t="str">
        <x:v>I16</x:v>
      </x:c>
      <x:c r="B161" s="12" t="str">
        <x:v>I</x:v>
      </x:c>
      <x:c r="C161" s="12" t="n">
        <x:v>16</x:v>
      </x:c>
      <x:c r="D161" s="12" t="str">
        <x:v>siFBN2-3</x:v>
      </x:c>
      <x:c r="E161" s="12" t="str">
        <x:v>FBN2-2</x:v>
      </x:c>
      <x:c r="F161" s="12" t="str">
        <x:v>Target</x:v>
      </x:c>
      <x:c r="G161" s="12" t="n">
        <x:v>4</x:v>
      </x:c>
      <x:c r="H161" s="13" t="n">
        <x:v>26.92</x:v>
      </x:c>
      <x:c r="I161" s="13" t="n">
        <x:v>76.25</x:v>
      </x:c>
      <x:c r="J161" s="13" t="n">
        <x:v>82.93</x:v>
      </x:c>
      <x:c r="K161" s="13" t="str">
        <x:v>4</x:v>
      </x:c>
      <x:c r="L161" s="13" t="n">
        <x:v>1</x:v>
      </x:c>
      <x:c r="M161" s="13" t="n">
        <x:v>0.41</x:v>
      </x:c>
      <x:c r="N161" s="12" t="str">
        <x:v>NO</x:v>
      </x:c>
      <x:c r="O161" s="12" t="str">
        <x:v>siFBN2-3</x:v>
      </x:c>
      <x:c r="P161" s="14" t="str"/>
      <x:c r="Q161" s="12" t="str">
        <x:v>siFBN2-3|||FBN2-2</x:v>
      </x:c>
    </x:row>
    <x:row r="162">
      <x:c r="A162" s="12" t="str">
        <x:v>I17</x:v>
      </x:c>
      <x:c r="B162" s="12" t="str">
        <x:v>I</x:v>
      </x:c>
      <x:c r="C162" s="12" t="n">
        <x:v>17</x:v>
      </x:c>
      <x:c r="D162" s="12" t="str">
        <x:v>siFBN2-3</x:v>
      </x:c>
      <x:c r="E162" s="12" t="str">
        <x:v>ZNF436-1</x:v>
      </x:c>
      <x:c r="F162" s="12" t="str">
        <x:v>Target</x:v>
      </x:c>
      <x:c r="G162" s="12" t="n">
        <x:v>1</x:v>
      </x:c>
      <x:c r="H162" s="13" t="n">
        <x:v>27.47</x:v>
      </x:c>
      <x:c r="I162" s="13" t="n">
        <x:v>77.79</x:v>
      </x:c>
      <x:c r="J162" s="13"/>
      <x:c r="K162" s="13" t="str">
        <x:v>2</x:v>
      </x:c>
      <x:c r="L162" s="13" t="n">
        <x:v>0.98</x:v>
      </x:c>
      <x:c r="M162" s="13" t="n">
        <x:v>0.73</x:v>
      </x:c>
      <x:c r="N162" s="12" t="str">
        <x:v>NO</x:v>
      </x:c>
      <x:c r="O162" s="12" t="str">
        <x:v>siFBN2-3</x:v>
      </x:c>
      <x:c r="P162" s="14" t="str"/>
      <x:c r="Q162" s="12" t="str">
        <x:v>siFBN2-3|||ZNF436-1</x:v>
      </x:c>
    </x:row>
    <x:row r="163">
      <x:c r="A163" s="12" t="str">
        <x:v>I18</x:v>
      </x:c>
      <x:c r="B163" s="12" t="str">
        <x:v>I</x:v>
      </x:c>
      <x:c r="C163" s="12" t="n">
        <x:v>18</x:v>
      </x:c>
      <x:c r="D163" s="12" t="str">
        <x:v>siFBN2-3</x:v>
      </x:c>
      <x:c r="E163" s="12" t="str">
        <x:v>ZNF436-1</x:v>
      </x:c>
      <x:c r="F163" s="12" t="str">
        <x:v>Target</x:v>
      </x:c>
      <x:c r="G163" s="12" t="n">
        <x:v>2</x:v>
      </x:c>
      <x:c r="H163" s="13" t="n">
        <x:v>27.16</x:v>
      </x:c>
      <x:c r="I163" s="13" t="n">
        <x:v>77.91</x:v>
      </x:c>
      <x:c r="J163" s="13"/>
      <x:c r="K163" s="13" t="str">
        <x:v>2</x:v>
      </x:c>
      <x:c r="L163" s="13" t="n">
        <x:v>0.97</x:v>
      </x:c>
      <x:c r="M163" s="13" t="n">
        <x:v>0.72</x:v>
      </x:c>
      <x:c r="N163" s="12" t="str">
        <x:v>NO</x:v>
      </x:c>
      <x:c r="O163" s="12" t="str">
        <x:v>siFBN2-3</x:v>
      </x:c>
      <x:c r="P163" s="14" t="str"/>
      <x:c r="Q163" s="12" t="str">
        <x:v>siFBN2-3|||ZNF436-1</x:v>
      </x:c>
    </x:row>
    <x:row r="164">
      <x:c r="A164" s="12" t="str">
        <x:v>I19</x:v>
      </x:c>
      <x:c r="B164" s="12" t="str">
        <x:v>I</x:v>
      </x:c>
      <x:c r="C164" s="12" t="n">
        <x:v>19</x:v>
      </x:c>
      <x:c r="D164" s="12" t="str">
        <x:v>siFBN2-3</x:v>
      </x:c>
      <x:c r="E164" s="12" t="str">
        <x:v>ZNF436-1</x:v>
      </x:c>
      <x:c r="F164" s="12" t="str">
        <x:v>Target</x:v>
      </x:c>
      <x:c r="G164" s="12" t="n">
        <x:v>3</x:v>
      </x:c>
      <x:c r="H164" s="13" t="n">
        <x:v>27.3</x:v>
      </x:c>
      <x:c r="I164" s="13" t="n">
        <x:v>77.97</x:v>
      </x:c>
      <x:c r="J164" s="13"/>
      <x:c r="K164" s="13" t="str">
        <x:v>2</x:v>
      </x:c>
      <x:c r="L164" s="13" t="n">
        <x:v>0.98</x:v>
      </x:c>
      <x:c r="M164" s="13" t="n">
        <x:v>0.75</x:v>
      </x:c>
      <x:c r="N164" s="12" t="str">
        <x:v>NO</x:v>
      </x:c>
      <x:c r="O164" s="12" t="str">
        <x:v>siFBN2-3</x:v>
      </x:c>
      <x:c r="P164" s="14" t="str"/>
      <x:c r="Q164" s="12" t="str">
        <x:v>siFBN2-3|||ZNF436-1</x:v>
      </x:c>
    </x:row>
    <x:row r="165">
      <x:c r="A165" s="12" t="str">
        <x:v>I20</x:v>
      </x:c>
      <x:c r="B165" s="12" t="str">
        <x:v>I</x:v>
      </x:c>
      <x:c r="C165" s="12" t="n">
        <x:v>20</x:v>
      </x:c>
      <x:c r="D165" s="12" t="str">
        <x:v>siFBN2-3</x:v>
      </x:c>
      <x:c r="E165" s="12" t="str">
        <x:v>ZNF436-1</x:v>
      </x:c>
      <x:c r="F165" s="12" t="str">
        <x:v>Target</x:v>
      </x:c>
      <x:c r="G165" s="12" t="n">
        <x:v>4</x:v>
      </x:c>
      <x:c r="H165" s="13" t="n">
        <x:v>27.11</x:v>
      </x:c>
      <x:c r="I165" s="13" t="n">
        <x:v>77.99</x:v>
      </x:c>
      <x:c r="J165" s="13"/>
      <x:c r="K165" s="13" t="str">
        <x:v>2</x:v>
      </x:c>
      <x:c r="L165" s="13" t="n">
        <x:v>0.99</x:v>
      </x:c>
      <x:c r="M165" s="13" t="n">
        <x:v>0.77</x:v>
      </x:c>
      <x:c r="N165" s="12" t="str">
        <x:v>NO</x:v>
      </x:c>
      <x:c r="O165" s="12" t="str">
        <x:v>siFBN2-3</x:v>
      </x:c>
      <x:c r="P165" s="14" t="str"/>
      <x:c r="Q165" s="12" t="str">
        <x:v>siFBN2-3|||ZNF436-1</x:v>
      </x:c>
    </x:row>
    <x:row r="166">
      <x:c r="A166" s="12" t="str">
        <x:v>I21</x:v>
      </x:c>
      <x:c r="B166" s="12" t="str">
        <x:v>I</x:v>
      </x:c>
      <x:c r="C166" s="12" t="n">
        <x:v>21</x:v>
      </x:c>
      <x:c r="D166" s="12" t="str">
        <x:v>siFBN2-3</x:v>
      </x:c>
      <x:c r="E166" s="12" t="str">
        <x:v>ZNF436-2</x:v>
      </x:c>
      <x:c r="F166" s="12" t="str">
        <x:v>Target</x:v>
      </x:c>
      <x:c r="G166" s="12" t="n">
        <x:v>1</x:v>
      </x:c>
      <x:c r="H166" s="13" t="n">
        <x:v>25.7</x:v>
      </x:c>
      <x:c r="I166" s="13" t="n">
        <x:v>73.1</x:v>
      </x:c>
      <x:c r="J166" s="13"/>
      <x:c r="K166" s="13" t="str">
        <x:v>3</x:v>
      </x:c>
      <x:c r="L166" s="13" t="n">
        <x:v>0.98</x:v>
      </x:c>
      <x:c r="M166" s="13" t="n">
        <x:v>0.98</x:v>
      </x:c>
      <x:c r="N166" s="12" t="str">
        <x:v>NO</x:v>
      </x:c>
      <x:c r="O166" s="12" t="str">
        <x:v>siFBN2-3</x:v>
      </x:c>
      <x:c r="P166" s="14" t="str"/>
      <x:c r="Q166" s="12" t="str">
        <x:v>siFBN2-3|||ZNF436-2</x:v>
      </x:c>
    </x:row>
    <x:row r="167">
      <x:c r="A167" s="12" t="str">
        <x:v>I22</x:v>
      </x:c>
      <x:c r="B167" s="12" t="str">
        <x:v>I</x:v>
      </x:c>
      <x:c r="C167" s="12" t="n">
        <x:v>22</x:v>
      </x:c>
      <x:c r="D167" s="12" t="str">
        <x:v>siFBN2-3</x:v>
      </x:c>
      <x:c r="E167" s="12" t="str">
        <x:v>ZNF436-2</x:v>
      </x:c>
      <x:c r="F167" s="12" t="str">
        <x:v>Target</x:v>
      </x:c>
      <x:c r="G167" s="12" t="n">
        <x:v>2</x:v>
      </x:c>
      <x:c r="H167" s="13" t="n">
        <x:v>25.75</x:v>
      </x:c>
      <x:c r="I167" s="13" t="n">
        <x:v>73.19</x:v>
      </x:c>
      <x:c r="J167" s="13"/>
      <x:c r="K167" s="13" t="str">
        <x:v>3</x:v>
      </x:c>
      <x:c r="L167" s="13" t="n">
        <x:v>0.99</x:v>
      </x:c>
      <x:c r="M167" s="13" t="n">
        <x:v>0.98</x:v>
      </x:c>
      <x:c r="N167" s="12" t="str">
        <x:v>NO</x:v>
      </x:c>
      <x:c r="O167" s="12" t="str">
        <x:v>siFBN2-3</x:v>
      </x:c>
      <x:c r="P167" s="14" t="str"/>
      <x:c r="Q167" s="12" t="str">
        <x:v>siFBN2-3|||ZNF436-2</x:v>
      </x:c>
    </x:row>
    <x:row r="168">
      <x:c r="A168" s="12" t="str">
        <x:v>I23</x:v>
      </x:c>
      <x:c r="B168" s="12" t="str">
        <x:v>I</x:v>
      </x:c>
      <x:c r="C168" s="12" t="n">
        <x:v>23</x:v>
      </x:c>
      <x:c r="D168" s="12" t="str">
        <x:v>siFBN2-3</x:v>
      </x:c>
      <x:c r="E168" s="12" t="str">
        <x:v>ZNF436-2</x:v>
      </x:c>
      <x:c r="F168" s="12" t="str">
        <x:v>Target</x:v>
      </x:c>
      <x:c r="G168" s="12" t="n">
        <x:v>3</x:v>
      </x:c>
      <x:c r="H168" s="13" t="n">
        <x:v>25.87</x:v>
      </x:c>
      <x:c r="I168" s="13" t="n">
        <x:v>73.23</x:v>
      </x:c>
      <x:c r="J168" s="13"/>
      <x:c r="K168" s="13" t="str">
        <x:v>3</x:v>
      </x:c>
      <x:c r="L168" s="13" t="n">
        <x:v>0.99</x:v>
      </x:c>
      <x:c r="M168" s="13" t="n">
        <x:v>0.98</x:v>
      </x:c>
      <x:c r="N168" s="12" t="str">
        <x:v>NO</x:v>
      </x:c>
      <x:c r="O168" s="12" t="str">
        <x:v>siFBN2-3</x:v>
      </x:c>
      <x:c r="P168" s="14" t="str"/>
      <x:c r="Q168" s="12" t="str">
        <x:v>siFBN2-3|||ZNF436-2</x:v>
      </x:c>
    </x:row>
    <x:row r="169">
      <x:c r="A169" s="12" t="str">
        <x:v>I24</x:v>
      </x:c>
      <x:c r="B169" s="12" t="str">
        <x:v>I</x:v>
      </x:c>
      <x:c r="C169" s="12" t="n">
        <x:v>24</x:v>
      </x:c>
      <x:c r="D169" s="12" t="str">
        <x:v>siFBN2-3</x:v>
      </x:c>
      <x:c r="E169" s="12" t="str">
        <x:v>ZNF436-2</x:v>
      </x:c>
      <x:c r="F169" s="12" t="str">
        <x:v>Target</x:v>
      </x:c>
      <x:c r="G169" s="12" t="n">
        <x:v>4</x:v>
      </x:c>
      <x:c r="H169" s="13" t="n">
        <x:v>25.82</x:v>
      </x:c>
      <x:c r="I169" s="13" t="n">
        <x:v>73.15</x:v>
      </x:c>
      <x:c r="J169" s="13"/>
      <x:c r="K169" s="13" t="str">
        <x:v>3</x:v>
      </x:c>
      <x:c r="L169" s="13" t="n">
        <x:v>0.98</x:v>
      </x:c>
      <x:c r="M169" s="13" t="n">
        <x:v>0.98</x:v>
      </x:c>
      <x:c r="N169" s="12" t="str">
        <x:v>NO</x:v>
      </x:c>
      <x:c r="O169" s="12" t="str">
        <x:v>siFBN2-3</x:v>
      </x:c>
      <x:c r="P169" s="14" t="str"/>
      <x:c r="Q169" s="12" t="str">
        <x:v>siFBN2-3|||ZNF436-2</x:v>
      </x:c>
    </x:row>
    <x:row r="170">
      <x:c r="A170" s="12" t="str">
        <x:v>K1</x:v>
      </x:c>
      <x:c r="B170" s="12" t="str">
        <x:v>K</x:v>
      </x:c>
      <x:c r="C170" s="12" t="n">
        <x:v>1</x:v>
      </x:c>
      <x:c r="D170" s="12" t="str">
        <x:v>siFBN2-4</x:v>
      </x:c>
      <x:c r="E170" s="12" t="str">
        <x:v>GAPDH</x:v>
      </x:c>
      <x:c r="F170" s="12" t="str">
        <x:v>Reference</x:v>
      </x:c>
      <x:c r="G170" s="12" t="n">
        <x:v>1</x:v>
      </x:c>
      <x:c r="H170" s="13" t="n">
        <x:v>16.11</x:v>
      </x:c>
      <x:c r="I170" s="13" t="n">
        <x:v>86.02</x:v>
      </x:c>
      <x:c r="J170" s="13"/>
      <x:c r="K170" s="13" t="str">
        <x:v>1</x:v>
      </x:c>
      <x:c r="L170" s="13" t="n">
        <x:v>0.9</x:v>
      </x:c>
      <x:c r="M170" s="13" t="n">
        <x:v>0.49</x:v>
      </x:c>
      <x:c r="N170" s="12" t="str">
        <x:v>NO</x:v>
      </x:c>
      <x:c r="O170" s="12" t="str">
        <x:v>siFBN2-4</x:v>
      </x:c>
      <x:c r="P170" s="14" t="str"/>
      <x:c r="Q170" s="12" t="str">
        <x:v>siFBN2-4|||GAPDH</x:v>
      </x:c>
    </x:row>
    <x:row r="171">
      <x:c r="A171" s="12" t="str">
        <x:v>K2</x:v>
      </x:c>
      <x:c r="B171" s="12" t="str">
        <x:v>K</x:v>
      </x:c>
      <x:c r="C171" s="12" t="n">
        <x:v>2</x:v>
      </x:c>
      <x:c r="D171" s="12" t="str">
        <x:v>siFBN2-4</x:v>
      </x:c>
      <x:c r="E171" s="12" t="str">
        <x:v>GAPDH</x:v>
      </x:c>
      <x:c r="F171" s="12" t="str">
        <x:v>Reference</x:v>
      </x:c>
      <x:c r="G171" s="12" t="n">
        <x:v>2</x:v>
      </x:c>
      <x:c r="H171" s="13" t="n">
        <x:v>16.11</x:v>
      </x:c>
      <x:c r="I171" s="13" t="n">
        <x:v>86.02</x:v>
      </x:c>
      <x:c r="J171" s="13"/>
      <x:c r="K171" s="13" t="str">
        <x:v>1</x:v>
      </x:c>
      <x:c r="L171" s="13" t="n">
        <x:v>0.9</x:v>
      </x:c>
      <x:c r="M171" s="13" t="n">
        <x:v>0.49</x:v>
      </x:c>
      <x:c r="N171" s="12" t="str">
        <x:v>NO</x:v>
      </x:c>
      <x:c r="O171" s="12" t="str">
        <x:v>siFBN2-4</x:v>
      </x:c>
      <x:c r="P171" s="14" t="str"/>
      <x:c r="Q171" s="12" t="str">
        <x:v>siFBN2-4|||GAPDH</x:v>
      </x:c>
    </x:row>
    <x:row r="172">
      <x:c r="A172" s="12" t="str">
        <x:v>K3</x:v>
      </x:c>
      <x:c r="B172" s="12" t="str">
        <x:v>K</x:v>
      </x:c>
      <x:c r="C172" s="12" t="n">
        <x:v>3</x:v>
      </x:c>
      <x:c r="D172" s="12" t="str">
        <x:v>siFBN2-4</x:v>
      </x:c>
      <x:c r="E172" s="12" t="str">
        <x:v>GAPDH</x:v>
      </x:c>
      <x:c r="F172" s="12" t="str">
        <x:v>Reference</x:v>
      </x:c>
      <x:c r="G172" s="12" t="n">
        <x:v>3</x:v>
      </x:c>
      <x:c r="H172" s="13" t="n">
        <x:v>16.16</x:v>
      </x:c>
      <x:c r="I172" s="13" t="n">
        <x:v>86.01</x:v>
      </x:c>
      <x:c r="J172" s="13"/>
      <x:c r="K172" s="13" t="str">
        <x:v>1</x:v>
      </x:c>
      <x:c r="L172" s="13" t="n">
        <x:v>0.89</x:v>
      </x:c>
      <x:c r="M172" s="13" t="n">
        <x:v>0.49</x:v>
      </x:c>
      <x:c r="N172" s="12" t="str">
        <x:v>NO</x:v>
      </x:c>
      <x:c r="O172" s="12" t="str">
        <x:v>siFBN2-4</x:v>
      </x:c>
      <x:c r="P172" s="14" t="str"/>
      <x:c r="Q172" s="12" t="str">
        <x:v>siFBN2-4|||GAPDH</x:v>
      </x:c>
    </x:row>
    <x:row r="173">
      <x:c r="A173" s="12" t="str">
        <x:v>K4</x:v>
      </x:c>
      <x:c r="B173" s="12" t="str">
        <x:v>K</x:v>
      </x:c>
      <x:c r="C173" s="12" t="n">
        <x:v>4</x:v>
      </x:c>
      <x:c r="D173" s="12" t="str">
        <x:v>siFBN2-4</x:v>
      </x:c>
      <x:c r="E173" s="12" t="str">
        <x:v>GAPDH</x:v>
      </x:c>
      <x:c r="F173" s="12" t="str">
        <x:v>Reference</x:v>
      </x:c>
      <x:c r="G173" s="12" t="n">
        <x:v>4</x:v>
      </x:c>
      <x:c r="H173" s="13" t="n">
        <x:v>16.2</x:v>
      </x:c>
      <x:c r="I173" s="13" t="n">
        <x:v>86.02</x:v>
      </x:c>
      <x:c r="J173" s="13"/>
      <x:c r="K173" s="13" t="str">
        <x:v>1</x:v>
      </x:c>
      <x:c r="L173" s="13" t="n">
        <x:v>0.88</x:v>
      </x:c>
      <x:c r="M173" s="13" t="n">
        <x:v>0.49</x:v>
      </x:c>
      <x:c r="N173" s="12" t="str">
        <x:v>NO</x:v>
      </x:c>
      <x:c r="O173" s="12" t="str">
        <x:v>siFBN2-4</x:v>
      </x:c>
      <x:c r="P173" s="14" t="str"/>
      <x:c r="Q173" s="12" t="str">
        <x:v>siFBN2-4|||GAPDH</x:v>
      </x:c>
    </x:row>
    <x:row r="174">
      <x:c r="A174" s="12" t="str">
        <x:v>K5</x:v>
      </x:c>
      <x:c r="B174" s="12" t="str">
        <x:v>K</x:v>
      </x:c>
      <x:c r="C174" s="12" t="n">
        <x:v>5</x:v>
      </x:c>
      <x:c r="D174" s="12" t="str">
        <x:v>siFBN2-4</x:v>
      </x:c>
      <x:c r="E174" s="12" t="str">
        <x:v>TBP</x:v>
      </x:c>
      <x:c r="F174" s="12" t="str">
        <x:v>Reference</x:v>
      </x:c>
      <x:c r="G174" s="12" t="n">
        <x:v>1</x:v>
      </x:c>
      <x:c r="H174" s="13" t="n">
        <x:v>25.06</x:v>
      </x:c>
      <x:c r="I174" s="13" t="n">
        <x:v>80.29</x:v>
      </x:c>
      <x:c r="J174" s="13"/>
      <x:c r="K174" s="13" t="str">
        <x:v>1</x:v>
      </x:c>
      <x:c r="L174" s="13" t="n">
        <x:v>0.99</x:v>
      </x:c>
      <x:c r="M174" s="13" t="n">
        <x:v>0.18</x:v>
      </x:c>
      <x:c r="N174" s="12" t="str">
        <x:v>NO</x:v>
      </x:c>
      <x:c r="O174" s="12" t="str">
        <x:v>siFBN2-4</x:v>
      </x:c>
      <x:c r="P174" s="14" t="str"/>
      <x:c r="Q174" s="12" t="str">
        <x:v>siFBN2-4|||TBP</x:v>
      </x:c>
    </x:row>
    <x:row r="175">
      <x:c r="A175" s="12" t="str">
        <x:v>K6</x:v>
      </x:c>
      <x:c r="B175" s="12" t="str">
        <x:v>K</x:v>
      </x:c>
      <x:c r="C175" s="12" t="n">
        <x:v>6</x:v>
      </x:c>
      <x:c r="D175" s="12" t="str">
        <x:v>siFBN2-4</x:v>
      </x:c>
      <x:c r="E175" s="12" t="str">
        <x:v>TBP</x:v>
      </x:c>
      <x:c r="F175" s="12" t="str">
        <x:v>Reference</x:v>
      </x:c>
      <x:c r="G175" s="12" t="n">
        <x:v>2</x:v>
      </x:c>
      <x:c r="H175" s="13" t="n">
        <x:v>25.08</x:v>
      </x:c>
      <x:c r="I175" s="13" t="n">
        <x:v>80.34</x:v>
      </x:c>
      <x:c r="J175" s="13"/>
      <x:c r="K175" s="13" t="str">
        <x:v>1</x:v>
      </x:c>
      <x:c r="L175" s="13" t="n">
        <x:v>0.98</x:v>
      </x:c>
      <x:c r="M175" s="13" t="n">
        <x:v>0.18</x:v>
      </x:c>
      <x:c r="N175" s="12" t="str">
        <x:v>NO</x:v>
      </x:c>
      <x:c r="O175" s="12" t="str">
        <x:v>siFBN2-4</x:v>
      </x:c>
      <x:c r="P175" s="14" t="str"/>
      <x:c r="Q175" s="12" t="str">
        <x:v>siFBN2-4|||TBP</x:v>
      </x:c>
    </x:row>
    <x:row r="176">
      <x:c r="A176" s="12" t="str">
        <x:v>K7</x:v>
      </x:c>
      <x:c r="B176" s="12" t="str">
        <x:v>K</x:v>
      </x:c>
      <x:c r="C176" s="12" t="n">
        <x:v>7</x:v>
      </x:c>
      <x:c r="D176" s="12" t="str">
        <x:v>siFBN2-4</x:v>
      </x:c>
      <x:c r="E176" s="12" t="str">
        <x:v>TBP</x:v>
      </x:c>
      <x:c r="F176" s="12" t="str">
        <x:v>Reference</x:v>
      </x:c>
      <x:c r="G176" s="12" t="n">
        <x:v>3</x:v>
      </x:c>
      <x:c r="H176" s="13" t="n">
        <x:v>25.13</x:v>
      </x:c>
      <x:c r="I176" s="13" t="n">
        <x:v>80.31</x:v>
      </x:c>
      <x:c r="J176" s="13"/>
      <x:c r="K176" s="13" t="str">
        <x:v>1</x:v>
      </x:c>
      <x:c r="L176" s="13" t="n">
        <x:v>0.98</x:v>
      </x:c>
      <x:c r="M176" s="13" t="n">
        <x:v>0.17</x:v>
      </x:c>
      <x:c r="N176" s="12" t="str">
        <x:v>NO</x:v>
      </x:c>
      <x:c r="O176" s="12" t="str">
        <x:v>siFBN2-4</x:v>
      </x:c>
      <x:c r="P176" s="14" t="str"/>
      <x:c r="Q176" s="12" t="str">
        <x:v>siFBN2-4|||TBP</x:v>
      </x:c>
    </x:row>
    <x:row r="177">
      <x:c r="A177" s="12" t="str">
        <x:v>K8</x:v>
      </x:c>
      <x:c r="B177" s="12" t="str">
        <x:v>K</x:v>
      </x:c>
      <x:c r="C177" s="12" t="n">
        <x:v>8</x:v>
      </x:c>
      <x:c r="D177" s="12" t="str">
        <x:v>siFBN2-4</x:v>
      </x:c>
      <x:c r="E177" s="12" t="str">
        <x:v>TBP</x:v>
      </x:c>
      <x:c r="F177" s="12" t="str">
        <x:v>Reference</x:v>
      </x:c>
      <x:c r="G177" s="12" t="n">
        <x:v>4</x:v>
      </x:c>
      <x:c r="H177" s="13" t="n">
        <x:v>25.2</x:v>
      </x:c>
      <x:c r="I177" s="13" t="n">
        <x:v>80.29</x:v>
      </x:c>
      <x:c r="J177" s="13"/>
      <x:c r="K177" s="13" t="str">
        <x:v>1</x:v>
      </x:c>
      <x:c r="L177" s="13" t="n">
        <x:v>0.99</x:v>
      </x:c>
      <x:c r="M177" s="13" t="n">
        <x:v>0.19</x:v>
      </x:c>
      <x:c r="N177" s="12" t="str">
        <x:v>NO</x:v>
      </x:c>
      <x:c r="O177" s="12" t="str">
        <x:v>siFBN2-4</x:v>
      </x:c>
      <x:c r="P177" s="14" t="str"/>
      <x:c r="Q177" s="12" t="str">
        <x:v>siFBN2-4|||TBP</x:v>
      </x:c>
    </x:row>
    <x:row r="178">
      <x:c r="A178" s="12" t="str">
        <x:v>K9</x:v>
      </x:c>
      <x:c r="B178" s="12" t="str">
        <x:v>K</x:v>
      </x:c>
      <x:c r="C178" s="12" t="n">
        <x:v>9</x:v>
      </x:c>
      <x:c r="D178" s="12" t="str">
        <x:v>siFBN2-4</x:v>
      </x:c>
      <x:c r="E178" s="12" t="str">
        <x:v>FBN2-1</x:v>
      </x:c>
      <x:c r="F178" s="12" t="str">
        <x:v>Target</x:v>
      </x:c>
      <x:c r="G178" s="12" t="n">
        <x:v>1</x:v>
      </x:c>
      <x:c r="H178" s="13" t="n">
        <x:v>26.72</x:v>
      </x:c>
      <x:c r="I178" s="13" t="n">
        <x:v>78.75</x:v>
      </x:c>
      <x:c r="J178" s="13"/>
      <x:c r="K178" s="13" t="str">
        <x:v>2</x:v>
      </x:c>
      <x:c r="L178" s="13" t="n">
        <x:v>0.94</x:v>
      </x:c>
      <x:c r="M178" s="13" t="n">
        <x:v>0.56</x:v>
      </x:c>
      <x:c r="N178" s="12" t="str">
        <x:v>NO</x:v>
      </x:c>
      <x:c r="O178" s="12" t="str">
        <x:v>siFBN2-4</x:v>
      </x:c>
      <x:c r="P178" s="14" t="str"/>
      <x:c r="Q178" s="12" t="str">
        <x:v>siFBN2-4|||FBN2-1</x:v>
      </x:c>
    </x:row>
    <x:row r="179">
      <x:c r="A179" s="12" t="str">
        <x:v>K10</x:v>
      </x:c>
      <x:c r="B179" s="12" t="str">
        <x:v>K</x:v>
      </x:c>
      <x:c r="C179" s="12" t="n">
        <x:v>10</x:v>
      </x:c>
      <x:c r="D179" s="12" t="str">
        <x:v>siFBN2-4</x:v>
      </x:c>
      <x:c r="E179" s="12" t="str">
        <x:v>FBN2-1</x:v>
      </x:c>
      <x:c r="F179" s="12" t="str">
        <x:v>Target</x:v>
      </x:c>
      <x:c r="G179" s="12" t="n">
        <x:v>2</x:v>
      </x:c>
      <x:c r="H179" s="13" t="n">
        <x:v>26.99</x:v>
      </x:c>
      <x:c r="I179" s="13" t="n">
        <x:v>79.04</x:v>
      </x:c>
      <x:c r="J179" s="13"/>
      <x:c r="K179" s="13" t="str">
        <x:v>2</x:v>
      </x:c>
      <x:c r="L179" s="13" t="n">
        <x:v>0.97</x:v>
      </x:c>
      <x:c r="M179" s="13" t="n">
        <x:v>0.46</x:v>
      </x:c>
      <x:c r="N179" s="12" t="str">
        <x:v>NO</x:v>
      </x:c>
      <x:c r="O179" s="12" t="str">
        <x:v>siFBN2-4</x:v>
      </x:c>
      <x:c r="P179" s="14" t="str">
        <x:v>列10：修正板图备注‘可能加了两遍cDNA’，范围需实验记录确认</x:v>
      </x:c>
      <x:c r="Q179" s="12" t="str">
        <x:v>siFBN2-4|||FBN2-1</x:v>
      </x:c>
    </x:row>
    <x:row r="180">
      <x:c r="A180" s="12" t="str">
        <x:v>K11</x:v>
      </x:c>
      <x:c r="B180" s="12" t="str">
        <x:v>K</x:v>
      </x:c>
      <x:c r="C180" s="12" t="n">
        <x:v>11</x:v>
      </x:c>
      <x:c r="D180" s="12" t="str">
        <x:v>siFBN2-4</x:v>
      </x:c>
      <x:c r="E180" s="12" t="str">
        <x:v>FBN2-1</x:v>
      </x:c>
      <x:c r="F180" s="12" t="str">
        <x:v>Target</x:v>
      </x:c>
      <x:c r="G180" s="12" t="n">
        <x:v>3</x:v>
      </x:c>
      <x:c r="H180" s="13" t="n">
        <x:v>27.02</x:v>
      </x:c>
      <x:c r="I180" s="13" t="n">
        <x:v>78.9</x:v>
      </x:c>
      <x:c r="J180" s="13"/>
      <x:c r="K180" s="13" t="str">
        <x:v>2</x:v>
      </x:c>
      <x:c r="L180" s="13" t="n">
        <x:v>0.96</x:v>
      </x:c>
      <x:c r="M180" s="13" t="n">
        <x:v>0.52</x:v>
      </x:c>
      <x:c r="N180" s="12" t="str">
        <x:v>NO</x:v>
      </x:c>
      <x:c r="O180" s="12" t="str">
        <x:v>siFBN2-4</x:v>
      </x:c>
      <x:c r="P180" s="14" t="str"/>
      <x:c r="Q180" s="12" t="str">
        <x:v>siFBN2-4|||FBN2-1</x:v>
      </x:c>
    </x:row>
    <x:row r="181">
      <x:c r="A181" s="12" t="str">
        <x:v>K12</x:v>
      </x:c>
      <x:c r="B181" s="12" t="str">
        <x:v>K</x:v>
      </x:c>
      <x:c r="C181" s="12" t="n">
        <x:v>12</x:v>
      </x:c>
      <x:c r="D181" s="12" t="str">
        <x:v>siFBN2-4</x:v>
      </x:c>
      <x:c r="E181" s="12" t="str">
        <x:v>FBN2-1</x:v>
      </x:c>
      <x:c r="F181" s="12" t="str">
        <x:v>Target</x:v>
      </x:c>
      <x:c r="G181" s="12" t="n">
        <x:v>4</x:v>
      </x:c>
      <x:c r="H181" s="13" t="n">
        <x:v>27.01</x:v>
      </x:c>
      <x:c r="I181" s="13" t="n">
        <x:v>78.95</x:v>
      </x:c>
      <x:c r="J181" s="13"/>
      <x:c r="K181" s="13" t="str">
        <x:v>2</x:v>
      </x:c>
      <x:c r="L181" s="13" t="n">
        <x:v>0.97</x:v>
      </x:c>
      <x:c r="M181" s="13" t="n">
        <x:v>0.51</x:v>
      </x:c>
      <x:c r="N181" s="12" t="str">
        <x:v>NO</x:v>
      </x:c>
      <x:c r="O181" s="12" t="str">
        <x:v>siFBN2-4</x:v>
      </x:c>
      <x:c r="P181" s="14" t="str"/>
      <x:c r="Q181" s="12" t="str">
        <x:v>siFBN2-4|||FBN2-1</x:v>
      </x:c>
    </x:row>
    <x:row r="182">
      <x:c r="A182" s="12" t="str">
        <x:v>K13</x:v>
      </x:c>
      <x:c r="B182" s="12" t="str">
        <x:v>K</x:v>
      </x:c>
      <x:c r="C182" s="12" t="n">
        <x:v>13</x:v>
      </x:c>
      <x:c r="D182" s="12" t="str">
        <x:v>siFBN2-4</x:v>
      </x:c>
      <x:c r="E182" s="12" t="str">
        <x:v>FBN2-2</x:v>
      </x:c>
      <x:c r="F182" s="12" t="str">
        <x:v>Target</x:v>
      </x:c>
      <x:c r="G182" s="12" t="n">
        <x:v>1</x:v>
      </x:c>
      <x:c r="H182" s="13" t="n">
        <x:v>27.21</x:v>
      </x:c>
      <x:c r="I182" s="13" t="n">
        <x:v>75.26</x:v>
      </x:c>
      <x:c r="J182" s="13" t="n">
        <x:v>82.51</x:v>
      </x:c>
      <x:c r="K182" s="13" t="str">
        <x:v>4</x:v>
      </x:c>
      <x:c r="L182" s="13" t="n">
        <x:v>0.95</x:v>
      </x:c>
      <x:c r="M182" s="13" t="n">
        <x:v>0.5</x:v>
      </x:c>
      <x:c r="N182" s="12" t="str">
        <x:v>NO</x:v>
      </x:c>
      <x:c r="O182" s="12" t="str">
        <x:v>siFBN2-4</x:v>
      </x:c>
      <x:c r="P182" s="14" t="str"/>
      <x:c r="Q182" s="12" t="str">
        <x:v>siFBN2-4|||FBN2-2</x:v>
      </x:c>
    </x:row>
    <x:row r="183">
      <x:c r="A183" s="12" t="str">
        <x:v>K14</x:v>
      </x:c>
      <x:c r="B183" s="12" t="str">
        <x:v>K</x:v>
      </x:c>
      <x:c r="C183" s="12" t="n">
        <x:v>14</x:v>
      </x:c>
      <x:c r="D183" s="12" t="str">
        <x:v>siZNF436-1</x:v>
      </x:c>
      <x:c r="E183" s="12" t="str">
        <x:v>FBN2-2</x:v>
      </x:c>
      <x:c r="F183" s="12" t="str">
        <x:v>Target</x:v>
      </x:c>
      <x:c r="G183" s="12" t="n">
        <x:v>2</x:v>
      </x:c>
      <x:c r="H183" s="13" t="n">
        <x:v>23.61</x:v>
      </x:c>
      <x:c r="I183" s="13" t="n">
        <x:v>83.64</x:v>
      </x:c>
      <x:c r="J183" s="13"/>
      <x:c r="K183" s="13" t="str">
        <x:v>1</x:v>
      </x:c>
      <x:c r="L183" s="13" t="n">
        <x:v>0.99</x:v>
      </x:c>
      <x:c r="M183" s="13" t="n">
        <x:v>0.41</x:v>
      </x:c>
      <x:c r="N183" s="12" t="str">
        <x:v>YES</x:v>
      </x:c>
      <x:c r="O183" s="12" t="str">
        <x:v>siFBN2-4</x:v>
      </x:c>
      <x:c r="P183" s="14" t="str">
        <x:v>列14：cDNA样本整体向上错位一位，已按修正板图重映射</x:v>
      </x:c>
      <x:c r="Q183" s="12" t="str">
        <x:v>siZNF436-1|||FBN2-2</x:v>
      </x:c>
    </x:row>
    <x:row r="184">
      <x:c r="A184" s="12" t="str">
        <x:v>K15</x:v>
      </x:c>
      <x:c r="B184" s="12" t="str">
        <x:v>K</x:v>
      </x:c>
      <x:c r="C184" s="12" t="n">
        <x:v>15</x:v>
      </x:c>
      <x:c r="D184" s="12" t="str">
        <x:v>siFBN2-4</x:v>
      </x:c>
      <x:c r="E184" s="12" t="str">
        <x:v>FBN2-2</x:v>
      </x:c>
      <x:c r="F184" s="12" t="str">
        <x:v>Target</x:v>
      </x:c>
      <x:c r="G184" s="12" t="n">
        <x:v>3</x:v>
      </x:c>
      <x:c r="H184" s="13" t="n">
        <x:v>27.04</x:v>
      </x:c>
      <x:c r="I184" s="13" t="n">
        <x:v>75.7</x:v>
      </x:c>
      <x:c r="J184" s="13" t="n">
        <x:v>82.76</x:v>
      </x:c>
      <x:c r="K184" s="13" t="str">
        <x:v>4</x:v>
      </x:c>
      <x:c r="L184" s="13" t="n">
        <x:v>0.98</x:v>
      </x:c>
      <x:c r="M184" s="13" t="n">
        <x:v>0.47</x:v>
      </x:c>
      <x:c r="N184" s="12" t="str">
        <x:v>NO</x:v>
      </x:c>
      <x:c r="O184" s="12" t="str">
        <x:v>siFBN2-4</x:v>
      </x:c>
      <x:c r="P184" s="14" t="str"/>
      <x:c r="Q184" s="12" t="str">
        <x:v>siFBN2-4|||FBN2-2</x:v>
      </x:c>
    </x:row>
    <x:row r="185">
      <x:c r="A185" s="12" t="str">
        <x:v>K16</x:v>
      </x:c>
      <x:c r="B185" s="12" t="str">
        <x:v>K</x:v>
      </x:c>
      <x:c r="C185" s="12" t="n">
        <x:v>16</x:v>
      </x:c>
      <x:c r="D185" s="12" t="str">
        <x:v>siFBN2-4</x:v>
      </x:c>
      <x:c r="E185" s="12" t="str">
        <x:v>FBN2-2</x:v>
      </x:c>
      <x:c r="F185" s="12" t="str">
        <x:v>Target</x:v>
      </x:c>
      <x:c r="G185" s="12" t="n">
        <x:v>4</x:v>
      </x:c>
      <x:c r="H185" s="13" t="n">
        <x:v>27.27</x:v>
      </x:c>
      <x:c r="I185" s="13" t="n">
        <x:v>75.62</x:v>
      </x:c>
      <x:c r="J185" s="13" t="n">
        <x:v>82.8</x:v>
      </x:c>
      <x:c r="K185" s="13" t="str">
        <x:v>4</x:v>
      </x:c>
      <x:c r="L185" s="13" t="n">
        <x:v>0.99</x:v>
      </x:c>
      <x:c r="M185" s="13" t="n">
        <x:v>0.46</x:v>
      </x:c>
      <x:c r="N185" s="12" t="str">
        <x:v>NO</x:v>
      </x:c>
      <x:c r="O185" s="12" t="str">
        <x:v>siFBN2-4</x:v>
      </x:c>
      <x:c r="P185" s="14" t="str"/>
      <x:c r="Q185" s="12" t="str">
        <x:v>siFBN2-4|||FBN2-2</x:v>
      </x:c>
    </x:row>
    <x:row r="186">
      <x:c r="A186" s="12" t="str">
        <x:v>K17</x:v>
      </x:c>
      <x:c r="B186" s="12" t="str">
        <x:v>K</x:v>
      </x:c>
      <x:c r="C186" s="12" t="n">
        <x:v>17</x:v>
      </x:c>
      <x:c r="D186" s="12" t="str">
        <x:v>siFBN2-4</x:v>
      </x:c>
      <x:c r="E186" s="12" t="str">
        <x:v>ZNF436-1</x:v>
      </x:c>
      <x:c r="F186" s="12" t="str">
        <x:v>Target</x:v>
      </x:c>
      <x:c r="G186" s="12" t="n">
        <x:v>1</x:v>
      </x:c>
      <x:c r="H186" s="13" t="n">
        <x:v>27.46</x:v>
      </x:c>
      <x:c r="I186" s="13" t="n">
        <x:v>77.7</x:v>
      </x:c>
      <x:c r="J186" s="13"/>
      <x:c r="K186" s="13" t="str">
        <x:v>2</x:v>
      </x:c>
      <x:c r="L186" s="13" t="n">
        <x:v>0.94</x:v>
      </x:c>
      <x:c r="M186" s="13" t="n">
        <x:v>0.59</x:v>
      </x:c>
      <x:c r="N186" s="12" t="str">
        <x:v>NO</x:v>
      </x:c>
      <x:c r="O186" s="12" t="str">
        <x:v>siFBN2-4</x:v>
      </x:c>
      <x:c r="P186" s="14" t="str"/>
      <x:c r="Q186" s="12" t="str">
        <x:v>siFBN2-4|||ZNF436-1</x:v>
      </x:c>
    </x:row>
    <x:row r="187">
      <x:c r="A187" s="12" t="str">
        <x:v>K18</x:v>
      </x:c>
      <x:c r="B187" s="12" t="str">
        <x:v>K</x:v>
      </x:c>
      <x:c r="C187" s="12" t="n">
        <x:v>18</x:v>
      </x:c>
      <x:c r="D187" s="12" t="str">
        <x:v>siFBN2-4</x:v>
      </x:c>
      <x:c r="E187" s="12" t="str">
        <x:v>ZNF436-1</x:v>
      </x:c>
      <x:c r="F187" s="12" t="str">
        <x:v>Target</x:v>
      </x:c>
      <x:c r="G187" s="12" t="n">
        <x:v>2</x:v>
      </x:c>
      <x:c r="H187" s="13" t="n">
        <x:v>27.67</x:v>
      </x:c>
      <x:c r="I187" s="13" t="n">
        <x:v>77.87</x:v>
      </x:c>
      <x:c r="J187" s="13"/>
      <x:c r="K187" s="13" t="str">
        <x:v>2</x:v>
      </x:c>
      <x:c r="L187" s="13" t="n">
        <x:v>0.97</x:v>
      </x:c>
      <x:c r="M187" s="13" t="n">
        <x:v>0.71</x:v>
      </x:c>
      <x:c r="N187" s="12" t="str">
        <x:v>NO</x:v>
      </x:c>
      <x:c r="O187" s="12" t="str">
        <x:v>siFBN2-4</x:v>
      </x:c>
      <x:c r="P187" s="14" t="str"/>
      <x:c r="Q187" s="12" t="str">
        <x:v>siFBN2-4|||ZNF436-1</x:v>
      </x:c>
    </x:row>
    <x:row r="188">
      <x:c r="A188" s="12" t="str">
        <x:v>K19</x:v>
      </x:c>
      <x:c r="B188" s="12" t="str">
        <x:v>K</x:v>
      </x:c>
      <x:c r="C188" s="12" t="n">
        <x:v>19</x:v>
      </x:c>
      <x:c r="D188" s="12" t="str">
        <x:v>siFBN2-4</x:v>
      </x:c>
      <x:c r="E188" s="12" t="str">
        <x:v>ZNF436-1</x:v>
      </x:c>
      <x:c r="F188" s="12" t="str">
        <x:v>Target</x:v>
      </x:c>
      <x:c r="G188" s="12" t="n">
        <x:v>3</x:v>
      </x:c>
      <x:c r="H188" s="13" t="n">
        <x:v>27.49</x:v>
      </x:c>
      <x:c r="I188" s="13" t="n">
        <x:v>77.94</x:v>
      </x:c>
      <x:c r="J188" s="13"/>
      <x:c r="K188" s="13" t="str">
        <x:v>2</x:v>
      </x:c>
      <x:c r="L188" s="13" t="n">
        <x:v>0.96</x:v>
      </x:c>
      <x:c r="M188" s="13" t="n">
        <x:v>0.71</x:v>
      </x:c>
      <x:c r="N188" s="12" t="str">
        <x:v>NO</x:v>
      </x:c>
      <x:c r="O188" s="12" t="str">
        <x:v>siFBN2-4</x:v>
      </x:c>
      <x:c r="P188" s="14" t="str"/>
      <x:c r="Q188" s="12" t="str">
        <x:v>siFBN2-4|||ZNF436-1</x:v>
      </x:c>
    </x:row>
    <x:row r="189">
      <x:c r="A189" s="12" t="str">
        <x:v>K20</x:v>
      </x:c>
      <x:c r="B189" s="12" t="str">
        <x:v>K</x:v>
      </x:c>
      <x:c r="C189" s="12" t="n">
        <x:v>20</x:v>
      </x:c>
      <x:c r="D189" s="12" t="str">
        <x:v>siFBN2-4</x:v>
      </x:c>
      <x:c r="E189" s="12" t="str">
        <x:v>ZNF436-1</x:v>
      </x:c>
      <x:c r="F189" s="12" t="str">
        <x:v>Target</x:v>
      </x:c>
      <x:c r="G189" s="12" t="n">
        <x:v>4</x:v>
      </x:c>
      <x:c r="H189" s="13" t="n">
        <x:v>27.55</x:v>
      </x:c>
      <x:c r="I189" s="13" t="n">
        <x:v>77.86</x:v>
      </x:c>
      <x:c r="J189" s="13"/>
      <x:c r="K189" s="13" t="str">
        <x:v>2</x:v>
      </x:c>
      <x:c r="L189" s="13" t="n">
        <x:v>0.96</x:v>
      </x:c>
      <x:c r="M189" s="13" t="n">
        <x:v>0.67</x:v>
      </x:c>
      <x:c r="N189" s="12" t="str">
        <x:v>NO</x:v>
      </x:c>
      <x:c r="O189" s="12" t="str">
        <x:v>siFBN2-4</x:v>
      </x:c>
      <x:c r="P189" s="14" t="str"/>
      <x:c r="Q189" s="12" t="str">
        <x:v>siFBN2-4|||ZNF436-1</x:v>
      </x:c>
    </x:row>
    <x:row r="190">
      <x:c r="A190" s="12" t="str">
        <x:v>K21</x:v>
      </x:c>
      <x:c r="B190" s="12" t="str">
        <x:v>K</x:v>
      </x:c>
      <x:c r="C190" s="12" t="n">
        <x:v>21</x:v>
      </x:c>
      <x:c r="D190" s="12" t="str">
        <x:v>siFBN2-4</x:v>
      </x:c>
      <x:c r="E190" s="12" t="str">
        <x:v>ZNF436-2</x:v>
      </x:c>
      <x:c r="F190" s="12" t="str">
        <x:v>Target</x:v>
      </x:c>
      <x:c r="G190" s="12" t="n">
        <x:v>1</x:v>
      </x:c>
      <x:c r="H190" s="13" t="n">
        <x:v>25.34</x:v>
      </x:c>
      <x:c r="I190" s="13" t="n">
        <x:v>73.15</x:v>
      </x:c>
      <x:c r="J190" s="13"/>
      <x:c r="K190" s="13" t="str">
        <x:v>3</x:v>
      </x:c>
      <x:c r="L190" s="13" t="n">
        <x:v>0.99</x:v>
      </x:c>
      <x:c r="M190" s="13" t="n">
        <x:v>0.99</x:v>
      </x:c>
      <x:c r="N190" s="12" t="str">
        <x:v>NO</x:v>
      </x:c>
      <x:c r="O190" s="12" t="str">
        <x:v>siFBN2-4</x:v>
      </x:c>
      <x:c r="P190" s="14" t="str"/>
      <x:c r="Q190" s="12" t="str">
        <x:v>siFBN2-4|||ZNF436-2</x:v>
      </x:c>
    </x:row>
    <x:row r="191">
      <x:c r="A191" s="12" t="str">
        <x:v>K22</x:v>
      </x:c>
      <x:c r="B191" s="12" t="str">
        <x:v>K</x:v>
      </x:c>
      <x:c r="C191" s="12" t="n">
        <x:v>22</x:v>
      </x:c>
      <x:c r="D191" s="12" t="str">
        <x:v>siFBN2-4</x:v>
      </x:c>
      <x:c r="E191" s="12" t="str">
        <x:v>ZNF436-2</x:v>
      </x:c>
      <x:c r="F191" s="12" t="str">
        <x:v>Target</x:v>
      </x:c>
      <x:c r="G191" s="12" t="n">
        <x:v>2</x:v>
      </x:c>
      <x:c r="H191" s="13" t="n">
        <x:v>25.52</x:v>
      </x:c>
      <x:c r="I191" s="13" t="n">
        <x:v>73.21</x:v>
      </x:c>
      <x:c r="J191" s="13"/>
      <x:c r="K191" s="13" t="str">
        <x:v>3</x:v>
      </x:c>
      <x:c r="L191" s="13" t="n">
        <x:v>1</x:v>
      </x:c>
      <x:c r="M191" s="13" t="n">
        <x:v>0.99</x:v>
      </x:c>
      <x:c r="N191" s="12" t="str">
        <x:v>NO</x:v>
      </x:c>
      <x:c r="O191" s="12" t="str">
        <x:v>siFBN2-4</x:v>
      </x:c>
      <x:c r="P191" s="14" t="str"/>
      <x:c r="Q191" s="12" t="str">
        <x:v>siFBN2-4|||ZNF436-2</x:v>
      </x:c>
    </x:row>
    <x:row r="192">
      <x:c r="A192" s="12" t="str">
        <x:v>K23</x:v>
      </x:c>
      <x:c r="B192" s="12" t="str">
        <x:v>K</x:v>
      </x:c>
      <x:c r="C192" s="12" t="n">
        <x:v>23</x:v>
      </x:c>
      <x:c r="D192" s="12" t="str">
        <x:v>siFBN2-4</x:v>
      </x:c>
      <x:c r="E192" s="12" t="str">
        <x:v>ZNF436-2</x:v>
      </x:c>
      <x:c r="F192" s="12" t="str">
        <x:v>Target</x:v>
      </x:c>
      <x:c r="G192" s="12" t="n">
        <x:v>3</x:v>
      </x:c>
      <x:c r="H192" s="13" t="n">
        <x:v>25.53</x:v>
      </x:c>
      <x:c r="I192" s="13" t="n">
        <x:v>73.28</x:v>
      </x:c>
      <x:c r="J192" s="13"/>
      <x:c r="K192" s="13" t="str">
        <x:v>3</x:v>
      </x:c>
      <x:c r="L192" s="13" t="n">
        <x:v>0.99</x:v>
      </x:c>
      <x:c r="M192" s="13" t="n">
        <x:v>0.98</x:v>
      </x:c>
      <x:c r="N192" s="12" t="str">
        <x:v>NO</x:v>
      </x:c>
      <x:c r="O192" s="12" t="str">
        <x:v>siFBN2-4</x:v>
      </x:c>
      <x:c r="P192" s="14" t="str"/>
      <x:c r="Q192" s="12" t="str">
        <x:v>siFBN2-4|||ZNF436-2</x:v>
      </x:c>
    </x:row>
    <x:row r="193">
      <x:c r="A193" s="12" t="str">
        <x:v>K24</x:v>
      </x:c>
      <x:c r="B193" s="12" t="str">
        <x:v>K</x:v>
      </x:c>
      <x:c r="C193" s="12" t="n">
        <x:v>24</x:v>
      </x:c>
      <x:c r="D193" s="12" t="str">
        <x:v>siFBN2-4</x:v>
      </x:c>
      <x:c r="E193" s="12" t="str">
        <x:v>ZNF436-2</x:v>
      </x:c>
      <x:c r="F193" s="12" t="str">
        <x:v>Target</x:v>
      </x:c>
      <x:c r="G193" s="12" t="n">
        <x:v>4</x:v>
      </x:c>
      <x:c r="H193" s="13" t="n">
        <x:v>25.52</x:v>
      </x:c>
      <x:c r="I193" s="13" t="n">
        <x:v>73.18</x:v>
      </x:c>
      <x:c r="J193" s="13"/>
      <x:c r="K193" s="13" t="str">
        <x:v>3</x:v>
      </x:c>
      <x:c r="L193" s="13" t="n">
        <x:v>0.99</x:v>
      </x:c>
      <x:c r="M193" s="13" t="n">
        <x:v>0.99</x:v>
      </x:c>
      <x:c r="N193" s="12" t="str">
        <x:v>NO</x:v>
      </x:c>
      <x:c r="O193" s="12" t="str">
        <x:v>siFBN2-4</x:v>
      </x:c>
      <x:c r="P193" s="14" t="str"/>
      <x:c r="Q193" s="12" t="str">
        <x:v>siFBN2-4|||ZNF436-2</x:v>
      </x:c>
    </x:row>
    <x:row r="194">
      <x:c r="A194" s="12" t="str">
        <x:v>M1</x:v>
      </x:c>
      <x:c r="B194" s="12" t="str">
        <x:v>M</x:v>
      </x:c>
      <x:c r="C194" s="12" t="n">
        <x:v>1</x:v>
      </x:c>
      <x:c r="D194" s="12" t="str">
        <x:v>siZNF436-1</x:v>
      </x:c>
      <x:c r="E194" s="12" t="str">
        <x:v>GAPDH</x:v>
      </x:c>
      <x:c r="F194" s="12" t="str">
        <x:v>Reference</x:v>
      </x:c>
      <x:c r="G194" s="12" t="n">
        <x:v>1</x:v>
      </x:c>
      <x:c r="H194" s="13" t="n">
        <x:v>15.96</x:v>
      </x:c>
      <x:c r="I194" s="13" t="n">
        <x:v>86.04</x:v>
      </x:c>
      <x:c r="J194" s="13"/>
      <x:c r="K194" s="13" t="str">
        <x:v>1</x:v>
      </x:c>
      <x:c r="L194" s="13" t="n">
        <x:v>0.88</x:v>
      </x:c>
      <x:c r="M194" s="13" t="n">
        <x:v>0.49</x:v>
      </x:c>
      <x:c r="N194" s="12" t="str">
        <x:v>NO</x:v>
      </x:c>
      <x:c r="O194" s="12" t="str">
        <x:v>siZNF436-1</x:v>
      </x:c>
      <x:c r="P194" s="14" t="str"/>
      <x:c r="Q194" s="12" t="str">
        <x:v>siZNF436-1|||GAPDH</x:v>
      </x:c>
    </x:row>
    <x:row r="195">
      <x:c r="A195" s="12" t="str">
        <x:v>M2</x:v>
      </x:c>
      <x:c r="B195" s="12" t="str">
        <x:v>M</x:v>
      </x:c>
      <x:c r="C195" s="12" t="n">
        <x:v>2</x:v>
      </x:c>
      <x:c r="D195" s="12" t="str">
        <x:v>siZNF436-1</x:v>
      </x:c>
      <x:c r="E195" s="12" t="str">
        <x:v>GAPDH</x:v>
      </x:c>
      <x:c r="F195" s="12" t="str">
        <x:v>Reference</x:v>
      </x:c>
      <x:c r="G195" s="12" t="n">
        <x:v>2</x:v>
      </x:c>
      <x:c r="H195" s="13" t="n">
        <x:v>16.01</x:v>
      </x:c>
      <x:c r="I195" s="13" t="n">
        <x:v>86.05</x:v>
      </x:c>
      <x:c r="J195" s="13"/>
      <x:c r="K195" s="13" t="str">
        <x:v>1</x:v>
      </x:c>
      <x:c r="L195" s="13" t="n">
        <x:v>0.9</x:v>
      </x:c>
      <x:c r="M195" s="13" t="n">
        <x:v>0.49</x:v>
      </x:c>
      <x:c r="N195" s="12" t="str">
        <x:v>NO</x:v>
      </x:c>
      <x:c r="O195" s="12" t="str">
        <x:v>siZNF436-1</x:v>
      </x:c>
      <x:c r="P195" s="14" t="str"/>
      <x:c r="Q195" s="12" t="str">
        <x:v>siZNF436-1|||GAPDH</x:v>
      </x:c>
    </x:row>
    <x:row r="196">
      <x:c r="A196" s="12" t="str">
        <x:v>M3</x:v>
      </x:c>
      <x:c r="B196" s="12" t="str">
        <x:v>M</x:v>
      </x:c>
      <x:c r="C196" s="12" t="n">
        <x:v>3</x:v>
      </x:c>
      <x:c r="D196" s="12" t="str">
        <x:v>siZNF436-1</x:v>
      </x:c>
      <x:c r="E196" s="12" t="str">
        <x:v>GAPDH</x:v>
      </x:c>
      <x:c r="F196" s="12" t="str">
        <x:v>Reference</x:v>
      </x:c>
      <x:c r="G196" s="12" t="n">
        <x:v>3</x:v>
      </x:c>
      <x:c r="H196" s="13" t="n">
        <x:v>16.04</x:v>
      </x:c>
      <x:c r="I196" s="13" t="n">
        <x:v>86.08</x:v>
      </x:c>
      <x:c r="J196" s="13"/>
      <x:c r="K196" s="13" t="str">
        <x:v>1</x:v>
      </x:c>
      <x:c r="L196" s="13" t="n">
        <x:v>0.88</x:v>
      </x:c>
      <x:c r="M196" s="13" t="n">
        <x:v>0.49</x:v>
      </x:c>
      <x:c r="N196" s="12" t="str">
        <x:v>NO</x:v>
      </x:c>
      <x:c r="O196" s="12" t="str">
        <x:v>siZNF436-1</x:v>
      </x:c>
      <x:c r="P196" s="14" t="str"/>
      <x:c r="Q196" s="12" t="str">
        <x:v>siZNF436-1|||GAPDH</x:v>
      </x:c>
    </x:row>
    <x:row r="197">
      <x:c r="A197" s="12" t="str">
        <x:v>M4</x:v>
      </x:c>
      <x:c r="B197" s="12" t="str">
        <x:v>M</x:v>
      </x:c>
      <x:c r="C197" s="12" t="n">
        <x:v>4</x:v>
      </x:c>
      <x:c r="D197" s="12" t="str">
        <x:v>siZNF436-1</x:v>
      </x:c>
      <x:c r="E197" s="12" t="str">
        <x:v>GAPDH</x:v>
      </x:c>
      <x:c r="F197" s="12" t="str">
        <x:v>Reference</x:v>
      </x:c>
      <x:c r="G197" s="12" t="n">
        <x:v>4</x:v>
      </x:c>
      <x:c r="H197" s="13" t="n">
        <x:v>15.99</x:v>
      </x:c>
      <x:c r="I197" s="13" t="n">
        <x:v>86.06</x:v>
      </x:c>
      <x:c r="J197" s="13"/>
      <x:c r="K197" s="13" t="str">
        <x:v>1</x:v>
      </x:c>
      <x:c r="L197" s="13" t="n">
        <x:v>0.87</x:v>
      </x:c>
      <x:c r="M197" s="13" t="n">
        <x:v>0.49</x:v>
      </x:c>
      <x:c r="N197" s="12" t="str">
        <x:v>NO</x:v>
      </x:c>
      <x:c r="O197" s="12" t="str">
        <x:v>siZNF436-1</x:v>
      </x:c>
      <x:c r="P197" s="14" t="str"/>
      <x:c r="Q197" s="12" t="str">
        <x:v>siZNF436-1|||GAPDH</x:v>
      </x:c>
    </x:row>
    <x:row r="198">
      <x:c r="A198" s="12" t="str">
        <x:v>M5</x:v>
      </x:c>
      <x:c r="B198" s="12" t="str">
        <x:v>M</x:v>
      </x:c>
      <x:c r="C198" s="12" t="n">
        <x:v>5</x:v>
      </x:c>
      <x:c r="D198" s="12" t="str">
        <x:v>siZNF436-1</x:v>
      </x:c>
      <x:c r="E198" s="12" t="str">
        <x:v>TBP</x:v>
      </x:c>
      <x:c r="F198" s="12" t="str">
        <x:v>Reference</x:v>
      </x:c>
      <x:c r="G198" s="12" t="n">
        <x:v>1</x:v>
      </x:c>
      <x:c r="H198" s="13" t="n">
        <x:v>24.84</x:v>
      </x:c>
      <x:c r="I198" s="13" t="n">
        <x:v>80.31</x:v>
      </x:c>
      <x:c r="J198" s="13"/>
      <x:c r="K198" s="13" t="str">
        <x:v>1</x:v>
      </x:c>
      <x:c r="L198" s="13" t="n">
        <x:v>0.99</x:v>
      </x:c>
      <x:c r="M198" s="13" t="n">
        <x:v>0.19</x:v>
      </x:c>
      <x:c r="N198" s="12" t="str">
        <x:v>NO</x:v>
      </x:c>
      <x:c r="O198" s="12" t="str">
        <x:v>siZNF436-1</x:v>
      </x:c>
      <x:c r="P198" s="14" t="str"/>
      <x:c r="Q198" s="12" t="str">
        <x:v>siZNF436-1|||TBP</x:v>
      </x:c>
    </x:row>
    <x:row r="199">
      <x:c r="A199" s="12" t="str">
        <x:v>M6</x:v>
      </x:c>
      <x:c r="B199" s="12" t="str">
        <x:v>M</x:v>
      </x:c>
      <x:c r="C199" s="12" t="n">
        <x:v>6</x:v>
      </x:c>
      <x:c r="D199" s="12" t="str">
        <x:v>siZNF436-1</x:v>
      </x:c>
      <x:c r="E199" s="12" t="str">
        <x:v>TBP</x:v>
      </x:c>
      <x:c r="F199" s="12" t="str">
        <x:v>Reference</x:v>
      </x:c>
      <x:c r="G199" s="12" t="n">
        <x:v>2</x:v>
      </x:c>
      <x:c r="H199" s="13" t="n">
        <x:v>24.84</x:v>
      </x:c>
      <x:c r="I199" s="13" t="n">
        <x:v>80.3</x:v>
      </x:c>
      <x:c r="J199" s="13"/>
      <x:c r="K199" s="13" t="str">
        <x:v>1</x:v>
      </x:c>
      <x:c r="L199" s="13" t="n">
        <x:v>0.98</x:v>
      </x:c>
      <x:c r="M199" s="13" t="n">
        <x:v>0.18</x:v>
      </x:c>
      <x:c r="N199" s="12" t="str">
        <x:v>NO</x:v>
      </x:c>
      <x:c r="O199" s="12" t="str">
        <x:v>siZNF436-1</x:v>
      </x:c>
      <x:c r="P199" s="14" t="str"/>
      <x:c r="Q199" s="12" t="str">
        <x:v>siZNF436-1|||TBP</x:v>
      </x:c>
    </x:row>
    <x:row r="200">
      <x:c r="A200" s="12" t="str">
        <x:v>M7</x:v>
      </x:c>
      <x:c r="B200" s="12" t="str">
        <x:v>M</x:v>
      </x:c>
      <x:c r="C200" s="12" t="n">
        <x:v>7</x:v>
      </x:c>
      <x:c r="D200" s="12" t="str">
        <x:v>siZNF436-1</x:v>
      </x:c>
      <x:c r="E200" s="12" t="str">
        <x:v>TBP</x:v>
      </x:c>
      <x:c r="F200" s="12" t="str">
        <x:v>Reference</x:v>
      </x:c>
      <x:c r="G200" s="12" t="n">
        <x:v>3</x:v>
      </x:c>
      <x:c r="H200" s="13" t="n">
        <x:v>24.52</x:v>
      </x:c>
      <x:c r="I200" s="13" t="n">
        <x:v>80.29</x:v>
      </x:c>
      <x:c r="J200" s="13"/>
      <x:c r="K200" s="13" t="str">
        <x:v>1</x:v>
      </x:c>
      <x:c r="L200" s="13" t="n">
        <x:v>0.98</x:v>
      </x:c>
      <x:c r="M200" s="13" t="n">
        <x:v>0.18</x:v>
      </x:c>
      <x:c r="N200" s="12" t="str">
        <x:v>NO</x:v>
      </x:c>
      <x:c r="O200" s="12" t="str">
        <x:v>siZNF436-1</x:v>
      </x:c>
      <x:c r="P200" s="14" t="str"/>
      <x:c r="Q200" s="12" t="str">
        <x:v>siZNF436-1|||TBP</x:v>
      </x:c>
    </x:row>
    <x:row r="201">
      <x:c r="A201" s="12" t="str">
        <x:v>M8</x:v>
      </x:c>
      <x:c r="B201" s="12" t="str">
        <x:v>M</x:v>
      </x:c>
      <x:c r="C201" s="12" t="n">
        <x:v>8</x:v>
      </x:c>
      <x:c r="D201" s="12" t="str">
        <x:v>siZNF436-1</x:v>
      </x:c>
      <x:c r="E201" s="12" t="str">
        <x:v>TBP</x:v>
      </x:c>
      <x:c r="F201" s="12" t="str">
        <x:v>Reference</x:v>
      </x:c>
      <x:c r="G201" s="12" t="n">
        <x:v>4</x:v>
      </x:c>
      <x:c r="H201" s="13" t="n">
        <x:v>24.96</x:v>
      </x:c>
      <x:c r="I201" s="13" t="n">
        <x:v>80.29</x:v>
      </x:c>
      <x:c r="J201" s="13"/>
      <x:c r="K201" s="13" t="str">
        <x:v>1</x:v>
      </x:c>
      <x:c r="L201" s="13" t="n">
        <x:v>0.99</x:v>
      </x:c>
      <x:c r="M201" s="13" t="n">
        <x:v>0.2</x:v>
      </x:c>
      <x:c r="N201" s="12" t="str">
        <x:v>NO</x:v>
      </x:c>
      <x:c r="O201" s="12" t="str">
        <x:v>siZNF436-1</x:v>
      </x:c>
      <x:c r="P201" s="14" t="str"/>
      <x:c r="Q201" s="12" t="str">
        <x:v>siZNF436-1|||TBP</x:v>
      </x:c>
    </x:row>
    <x:row r="202">
      <x:c r="A202" s="12" t="str">
        <x:v>M9</x:v>
      </x:c>
      <x:c r="B202" s="12" t="str">
        <x:v>M</x:v>
      </x:c>
      <x:c r="C202" s="12" t="n">
        <x:v>9</x:v>
      </x:c>
      <x:c r="D202" s="12" t="str">
        <x:v>siZNF436-1</x:v>
      </x:c>
      <x:c r="E202" s="12" t="str">
        <x:v>FBN2-1</x:v>
      </x:c>
      <x:c r="F202" s="12" t="str">
        <x:v>Target</x:v>
      </x:c>
      <x:c r="G202" s="12" t="n">
        <x:v>1</x:v>
      </x:c>
      <x:c r="H202" s="13" t="n">
        <x:v>23.55</x:v>
      </x:c>
      <x:c r="I202" s="13" t="n">
        <x:v>79.25</x:v>
      </x:c>
      <x:c r="J202" s="13"/>
      <x:c r="K202" s="13" t="str">
        <x:v>2</x:v>
      </x:c>
      <x:c r="L202" s="13" t="n">
        <x:v>0.98</x:v>
      </x:c>
      <x:c r="M202" s="13" t="n">
        <x:v>0.45</x:v>
      </x:c>
      <x:c r="N202" s="12" t="str">
        <x:v>NO</x:v>
      </x:c>
      <x:c r="O202" s="12" t="str">
        <x:v>siZNF436-1</x:v>
      </x:c>
      <x:c r="P202" s="14" t="str"/>
      <x:c r="Q202" s="12" t="str">
        <x:v>siZNF436-1|||FBN2-1</x:v>
      </x:c>
    </x:row>
    <x:row r="203">
      <x:c r="A203" s="12" t="str">
        <x:v>M10</x:v>
      </x:c>
      <x:c r="B203" s="12" t="str">
        <x:v>M</x:v>
      </x:c>
      <x:c r="C203" s="12" t="n">
        <x:v>10</x:v>
      </x:c>
      <x:c r="D203" s="12" t="str">
        <x:v>siZNF436-1</x:v>
      </x:c>
      <x:c r="E203" s="12" t="str">
        <x:v>FBN2-1</x:v>
      </x:c>
      <x:c r="F203" s="12" t="str">
        <x:v>Target</x:v>
      </x:c>
      <x:c r="G203" s="12" t="n">
        <x:v>2</x:v>
      </x:c>
      <x:c r="H203" s="13" t="n">
        <x:v>23.67</x:v>
      </x:c>
      <x:c r="I203" s="13" t="n">
        <x:v>79.35</x:v>
      </x:c>
      <x:c r="J203" s="13"/>
      <x:c r="K203" s="13" t="str">
        <x:v>2</x:v>
      </x:c>
      <x:c r="L203" s="13" t="n">
        <x:v>0.98</x:v>
      </x:c>
      <x:c r="M203" s="13" t="n">
        <x:v>0.42</x:v>
      </x:c>
      <x:c r="N203" s="12" t="str">
        <x:v>NO</x:v>
      </x:c>
      <x:c r="O203" s="12" t="str">
        <x:v>siZNF436-1</x:v>
      </x:c>
      <x:c r="P203" s="14" t="str">
        <x:v>列10：修正板图备注‘可能加了两遍cDNA’，范围需实验记录确认</x:v>
      </x:c>
      <x:c r="Q203" s="12" t="str">
        <x:v>siZNF436-1|||FBN2-1</x:v>
      </x:c>
    </x:row>
    <x:row r="204">
      <x:c r="A204" s="12" t="str">
        <x:v>M11</x:v>
      </x:c>
      <x:c r="B204" s="12" t="str">
        <x:v>M</x:v>
      </x:c>
      <x:c r="C204" s="12" t="n">
        <x:v>11</x:v>
      </x:c>
      <x:c r="D204" s="12" t="str">
        <x:v>siZNF436-1</x:v>
      </x:c>
      <x:c r="E204" s="12" t="str">
        <x:v>FBN2-1</x:v>
      </x:c>
      <x:c r="F204" s="12" t="str">
        <x:v>Target</x:v>
      </x:c>
      <x:c r="G204" s="12" t="n">
        <x:v>3</x:v>
      </x:c>
      <x:c r="H204" s="13" t="n">
        <x:v>23.67</x:v>
      </x:c>
      <x:c r="I204" s="13" t="n">
        <x:v>79.35</x:v>
      </x:c>
      <x:c r="J204" s="13"/>
      <x:c r="K204" s="13" t="str">
        <x:v>2</x:v>
      </x:c>
      <x:c r="L204" s="13" t="n">
        <x:v>0.98</x:v>
      </x:c>
      <x:c r="M204" s="13" t="n">
        <x:v>0.43</x:v>
      </x:c>
      <x:c r="N204" s="12" t="str">
        <x:v>NO</x:v>
      </x:c>
      <x:c r="O204" s="12" t="str">
        <x:v>siZNF436-1</x:v>
      </x:c>
      <x:c r="P204" s="14" t="str"/>
      <x:c r="Q204" s="12" t="str">
        <x:v>siZNF436-1|||FBN2-1</x:v>
      </x:c>
    </x:row>
    <x:row r="205">
      <x:c r="A205" s="12" t="str">
        <x:v>M12</x:v>
      </x:c>
      <x:c r="B205" s="12" t="str">
        <x:v>M</x:v>
      </x:c>
      <x:c r="C205" s="12" t="n">
        <x:v>12</x:v>
      </x:c>
      <x:c r="D205" s="12" t="str">
        <x:v>siZNF436-1</x:v>
      </x:c>
      <x:c r="E205" s="12" t="str">
        <x:v>FBN2-1</x:v>
      </x:c>
      <x:c r="F205" s="12" t="str">
        <x:v>Target</x:v>
      </x:c>
      <x:c r="G205" s="12" t="n">
        <x:v>4</x:v>
      </x:c>
      <x:c r="H205" s="13" t="n">
        <x:v>23.73</x:v>
      </x:c>
      <x:c r="I205" s="13" t="n">
        <x:v>79.3</x:v>
      </x:c>
      <x:c r="J205" s="13"/>
      <x:c r="K205" s="13" t="str">
        <x:v>2</x:v>
      </x:c>
      <x:c r="L205" s="13" t="n">
        <x:v>0.98</x:v>
      </x:c>
      <x:c r="M205" s="13" t="n">
        <x:v>0.44</x:v>
      </x:c>
      <x:c r="N205" s="12" t="str">
        <x:v>NO</x:v>
      </x:c>
      <x:c r="O205" s="12" t="str">
        <x:v>siZNF436-1</x:v>
      </x:c>
      <x:c r="P205" s="14" t="str"/>
      <x:c r="Q205" s="12" t="str">
        <x:v>siZNF436-1|||FBN2-1</x:v>
      </x:c>
    </x:row>
    <x:row r="206">
      <x:c r="A206" s="12" t="str">
        <x:v>M13</x:v>
      </x:c>
      <x:c r="B206" s="12" t="str">
        <x:v>M</x:v>
      </x:c>
      <x:c r="C206" s="12" t="n">
        <x:v>13</x:v>
      </x:c>
      <x:c r="D206" s="12" t="str">
        <x:v>siZNF436-1</x:v>
      </x:c>
      <x:c r="E206" s="12" t="str">
        <x:v>FBN2-2</x:v>
      </x:c>
      <x:c r="F206" s="12" t="str">
        <x:v>Target</x:v>
      </x:c>
      <x:c r="G206" s="12" t="n">
        <x:v>1</x:v>
      </x:c>
      <x:c r="H206" s="13" t="n">
        <x:v>23.62</x:v>
      </x:c>
      <x:c r="I206" s="13" t="n">
        <x:v>83.52</x:v>
      </x:c>
      <x:c r="J206" s="13"/>
      <x:c r="K206" s="13" t="str">
        <x:v>1</x:v>
      </x:c>
      <x:c r="L206" s="13" t="n">
        <x:v>0.95</x:v>
      </x:c>
      <x:c r="M206" s="13" t="n">
        <x:v>0.2</x:v>
      </x:c>
      <x:c r="N206" s="12" t="str">
        <x:v>NO</x:v>
      </x:c>
      <x:c r="O206" s="12" t="str">
        <x:v>siZNF436-1</x:v>
      </x:c>
      <x:c r="P206" s="14" t="str"/>
      <x:c r="Q206" s="12" t="str">
        <x:v>siZNF436-1|||FBN2-2</x:v>
      </x:c>
    </x:row>
    <x:row r="207">
      <x:c r="A207" s="12" t="str">
        <x:v>M14</x:v>
      </x:c>
      <x:c r="B207" s="12" t="str">
        <x:v>M</x:v>
      </x:c>
      <x:c r="C207" s="12" t="n">
        <x:v>14</x:v>
      </x:c>
      <x:c r="D207" s="12" t="str">
        <x:v>siZNF436-2</x:v>
      </x:c>
      <x:c r="E207" s="12" t="str">
        <x:v>FBN2-2</x:v>
      </x:c>
      <x:c r="F207" s="12" t="str">
        <x:v>Target</x:v>
      </x:c>
      <x:c r="G207" s="12" t="n">
        <x:v>2</x:v>
      </x:c>
      <x:c r="H207" s="13" t="n">
        <x:v>23.66</x:v>
      </x:c>
      <x:c r="I207" s="13" t="n">
        <x:v>83.54</x:v>
      </x:c>
      <x:c r="J207" s="13"/>
      <x:c r="K207" s="13" t="str">
        <x:v>1</x:v>
      </x:c>
      <x:c r="L207" s="13" t="n">
        <x:v>0.96</x:v>
      </x:c>
      <x:c r="M207" s="13" t="n">
        <x:v>0.21</x:v>
      </x:c>
      <x:c r="N207" s="12" t="str">
        <x:v>YES</x:v>
      </x:c>
      <x:c r="O207" s="12" t="str">
        <x:v>siZNF436-1</x:v>
      </x:c>
      <x:c r="P207" s="14" t="str">
        <x:v>列14：cDNA样本整体向上错位一位，已按修正板图重映射</x:v>
      </x:c>
      <x:c r="Q207" s="12" t="str">
        <x:v>siZNF436-2|||FBN2-2</x:v>
      </x:c>
    </x:row>
    <x:row r="208">
      <x:c r="A208" s="12" t="str">
        <x:v>M15</x:v>
      </x:c>
      <x:c r="B208" s="12" t="str">
        <x:v>M</x:v>
      </x:c>
      <x:c r="C208" s="12" t="n">
        <x:v>15</x:v>
      </x:c>
      <x:c r="D208" s="12" t="str">
        <x:v>siZNF436-1</x:v>
      </x:c>
      <x:c r="E208" s="12" t="str">
        <x:v>FBN2-2</x:v>
      </x:c>
      <x:c r="F208" s="12" t="str">
        <x:v>Target</x:v>
      </x:c>
      <x:c r="G208" s="12" t="n">
        <x:v>3</x:v>
      </x:c>
      <x:c r="H208" s="13" t="n">
        <x:v>23.7</x:v>
      </x:c>
      <x:c r="I208" s="13" t="n">
        <x:v>83.63</x:v>
      </x:c>
      <x:c r="J208" s="13"/>
      <x:c r="K208" s="13" t="str">
        <x:v>1</x:v>
      </x:c>
      <x:c r="L208" s="13" t="n">
        <x:v>0.96</x:v>
      </x:c>
      <x:c r="M208" s="13" t="n">
        <x:v>0.25</x:v>
      </x:c>
      <x:c r="N208" s="12" t="str">
        <x:v>NO</x:v>
      </x:c>
      <x:c r="O208" s="12" t="str">
        <x:v>siZNF436-1</x:v>
      </x:c>
      <x:c r="P208" s="14" t="str"/>
      <x:c r="Q208" s="12" t="str">
        <x:v>siZNF436-1|||FBN2-2</x:v>
      </x:c>
    </x:row>
    <x:row r="209">
      <x:c r="A209" s="12" t="str">
        <x:v>M16</x:v>
      </x:c>
      <x:c r="B209" s="12" t="str">
        <x:v>M</x:v>
      </x:c>
      <x:c r="C209" s="12" t="n">
        <x:v>16</x:v>
      </x:c>
      <x:c r="D209" s="12" t="str">
        <x:v>siZNF436-1</x:v>
      </x:c>
      <x:c r="E209" s="12" t="str">
        <x:v>FBN2-2</x:v>
      </x:c>
      <x:c r="F209" s="12" t="str">
        <x:v>Target</x:v>
      </x:c>
      <x:c r="G209" s="12" t="n">
        <x:v>4</x:v>
      </x:c>
      <x:c r="H209" s="13" t="n">
        <x:v>23.6</x:v>
      </x:c>
      <x:c r="I209" s="13" t="n">
        <x:v>83.65</x:v>
      </x:c>
      <x:c r="J209" s="13"/>
      <x:c r="K209" s="13" t="str">
        <x:v>1</x:v>
      </x:c>
      <x:c r="L209" s="13" t="n">
        <x:v>0.96</x:v>
      </x:c>
      <x:c r="M209" s="13" t="n">
        <x:v>0.24</x:v>
      </x:c>
      <x:c r="N209" s="12" t="str">
        <x:v>NO</x:v>
      </x:c>
      <x:c r="O209" s="12" t="str">
        <x:v>siZNF436-1</x:v>
      </x:c>
      <x:c r="P209" s="14" t="str"/>
      <x:c r="Q209" s="12" t="str">
        <x:v>siZNF436-1|||FBN2-2</x:v>
      </x:c>
    </x:row>
    <x:row r="210">
      <x:c r="A210" s="12" t="str">
        <x:v>M17</x:v>
      </x:c>
      <x:c r="B210" s="12" t="str">
        <x:v>M</x:v>
      </x:c>
      <x:c r="C210" s="12" t="n">
        <x:v>17</x:v>
      </x:c>
      <x:c r="D210" s="12" t="str">
        <x:v>siZNF436-1</x:v>
      </x:c>
      <x:c r="E210" s="12" t="str">
        <x:v>ZNF436-1</x:v>
      </x:c>
      <x:c r="F210" s="12" t="str">
        <x:v>Target</x:v>
      </x:c>
      <x:c r="G210" s="12" t="n">
        <x:v>1</x:v>
      </x:c>
      <x:c r="H210" s="13" t="n">
        <x:v>29.96</x:v>
      </x:c>
      <x:c r="I210" s="13" t="n">
        <x:v>74.48</x:v>
      </x:c>
      <x:c r="J210" s="13"/>
      <x:c r="K210" s="13" t="str">
        <x:v>Unknown</x:v>
      </x:c>
      <x:c r="L210" s="13" t="n">
        <x:v>0.68</x:v>
      </x:c>
      <x:c r="M210" s="13" t="n">
        <x:v>0.57</x:v>
      </x:c>
      <x:c r="N210" s="12" t="str">
        <x:v>NO</x:v>
      </x:c>
      <x:c r="O210" s="12" t="str">
        <x:v>siZNF436-1</x:v>
      </x:c>
      <x:c r="P210" s="14" t="str"/>
      <x:c r="Q210" s="12" t="str">
        <x:v>siZNF436-1|||ZNF436-1</x:v>
      </x:c>
    </x:row>
    <x:row r="211">
      <x:c r="A211" s="12" t="str">
        <x:v>M18</x:v>
      </x:c>
      <x:c r="B211" s="12" t="str">
        <x:v>M</x:v>
      </x:c>
      <x:c r="C211" s="12" t="n">
        <x:v>18</x:v>
      </x:c>
      <x:c r="D211" s="12" t="str">
        <x:v>siZNF436-1</x:v>
      </x:c>
      <x:c r="E211" s="12" t="str">
        <x:v>ZNF436-1</x:v>
      </x:c>
      <x:c r="F211" s="12" t="str">
        <x:v>Target</x:v>
      </x:c>
      <x:c r="G211" s="12" t="n">
        <x:v>2</x:v>
      </x:c>
      <x:c r="H211" s="13" t="n">
        <x:v>29.77</x:v>
      </x:c>
      <x:c r="I211" s="13" t="n">
        <x:v>76.06</x:v>
      </x:c>
      <x:c r="J211" s="13"/>
      <x:c r="K211" s="13" t="str">
        <x:v>3</x:v>
      </x:c>
      <x:c r="L211" s="13" t="n">
        <x:v>0.76</x:v>
      </x:c>
      <x:c r="M211" s="13" t="n">
        <x:v>0.35</x:v>
      </x:c>
      <x:c r="N211" s="12" t="str">
        <x:v>NO</x:v>
      </x:c>
      <x:c r="O211" s="12" t="str">
        <x:v>siZNF436-1</x:v>
      </x:c>
      <x:c r="P211" s="14" t="str"/>
      <x:c r="Q211" s="12" t="str">
        <x:v>siZNF436-1|||ZNF436-1</x:v>
      </x:c>
    </x:row>
    <x:row r="212">
      <x:c r="A212" s="12" t="str">
        <x:v>M19</x:v>
      </x:c>
      <x:c r="B212" s="12" t="str">
        <x:v>M</x:v>
      </x:c>
      <x:c r="C212" s="12" t="n">
        <x:v>19</x:v>
      </x:c>
      <x:c r="D212" s="12" t="str">
        <x:v>siZNF436-1</x:v>
      </x:c>
      <x:c r="E212" s="12" t="str">
        <x:v>ZNF436-1</x:v>
      </x:c>
      <x:c r="F212" s="12" t="str">
        <x:v>Target</x:v>
      </x:c>
      <x:c r="G212" s="12" t="n">
        <x:v>3</x:v>
      </x:c>
      <x:c r="H212" s="13" t="n">
        <x:v>30.45</x:v>
      </x:c>
      <x:c r="I212" s="13" t="n">
        <x:v>75.57</x:v>
      </x:c>
      <x:c r="J212" s="13"/>
      <x:c r="K212" s="13" t="str">
        <x:v>Unknown</x:v>
      </x:c>
      <x:c r="L212" s="13" t="n">
        <x:v>0.67</x:v>
      </x:c>
      <x:c r="M212" s="13" t="n">
        <x:v>0.4</x:v>
      </x:c>
      <x:c r="N212" s="12" t="str">
        <x:v>NO</x:v>
      </x:c>
      <x:c r="O212" s="12" t="str">
        <x:v>siZNF436-1</x:v>
      </x:c>
      <x:c r="P212" s="14" t="str"/>
      <x:c r="Q212" s="12" t="str">
        <x:v>siZNF436-1|||ZNF436-1</x:v>
      </x:c>
    </x:row>
    <x:row r="213">
      <x:c r="A213" s="12" t="str">
        <x:v>M20</x:v>
      </x:c>
      <x:c r="B213" s="12" t="str">
        <x:v>M</x:v>
      </x:c>
      <x:c r="C213" s="12" t="n">
        <x:v>20</x:v>
      </x:c>
      <x:c r="D213" s="12" t="str">
        <x:v>siZNF436-1</x:v>
      </x:c>
      <x:c r="E213" s="12" t="str">
        <x:v>ZNF436-1</x:v>
      </x:c>
      <x:c r="F213" s="12" t="str">
        <x:v>Target</x:v>
      </x:c>
      <x:c r="G213" s="12" t="n">
        <x:v>4</x:v>
      </x:c>
      <x:c r="H213" s="13" t="n">
        <x:v>30.23</x:v>
      </x:c>
      <x:c r="I213" s="13" t="n">
        <x:v>76.22</x:v>
      </x:c>
      <x:c r="J213" s="13"/>
      <x:c r="K213" s="13" t="str">
        <x:v>3</x:v>
      </x:c>
      <x:c r="L213" s="13" t="n">
        <x:v>0.73</x:v>
      </x:c>
      <x:c r="M213" s="13" t="n">
        <x:v>0.37</x:v>
      </x:c>
      <x:c r="N213" s="12" t="str">
        <x:v>NO</x:v>
      </x:c>
      <x:c r="O213" s="12" t="str">
        <x:v>siZNF436-1</x:v>
      </x:c>
      <x:c r="P213" s="14" t="str"/>
      <x:c r="Q213" s="12" t="str">
        <x:v>siZNF436-1|||ZNF436-1</x:v>
      </x:c>
    </x:row>
    <x:row r="214">
      <x:c r="A214" s="12" t="str">
        <x:v>M21</x:v>
      </x:c>
      <x:c r="B214" s="12" t="str">
        <x:v>M</x:v>
      </x:c>
      <x:c r="C214" s="12" t="n">
        <x:v>21</x:v>
      </x:c>
      <x:c r="D214" s="12" t="str">
        <x:v>siZNF436-1</x:v>
      </x:c>
      <x:c r="E214" s="12" t="str">
        <x:v>ZNF436-2</x:v>
      </x:c>
      <x:c r="F214" s="12" t="str">
        <x:v>Target</x:v>
      </x:c>
      <x:c r="G214" s="12" t="n">
        <x:v>1</x:v>
      </x:c>
      <x:c r="H214" s="13" t="n">
        <x:v>25.25</x:v>
      </x:c>
      <x:c r="I214" s="13" t="n">
        <x:v>73.22</x:v>
      </x:c>
      <x:c r="J214" s="13"/>
      <x:c r="K214" s="13" t="str">
        <x:v>3</x:v>
      </x:c>
      <x:c r="L214" s="13" t="n">
        <x:v>0.99</x:v>
      </x:c>
      <x:c r="M214" s="13" t="n">
        <x:v>0.99</x:v>
      </x:c>
      <x:c r="N214" s="12" t="str">
        <x:v>NO</x:v>
      </x:c>
      <x:c r="O214" s="12" t="str">
        <x:v>siZNF436-1</x:v>
      </x:c>
      <x:c r="P214" s="14" t="str"/>
      <x:c r="Q214" s="12" t="str">
        <x:v>siZNF436-1|||ZNF436-2</x:v>
      </x:c>
    </x:row>
    <x:row r="215">
      <x:c r="A215" s="12" t="str">
        <x:v>M22</x:v>
      </x:c>
      <x:c r="B215" s="12" t="str">
        <x:v>M</x:v>
      </x:c>
      <x:c r="C215" s="12" t="n">
        <x:v>22</x:v>
      </x:c>
      <x:c r="D215" s="12" t="str">
        <x:v>siZNF436-1</x:v>
      </x:c>
      <x:c r="E215" s="12" t="str">
        <x:v>ZNF436-2</x:v>
      </x:c>
      <x:c r="F215" s="12" t="str">
        <x:v>Target</x:v>
      </x:c>
      <x:c r="G215" s="12" t="n">
        <x:v>2</x:v>
      </x:c>
      <x:c r="H215" s="13" t="n">
        <x:v>25.21</x:v>
      </x:c>
      <x:c r="I215" s="13" t="n">
        <x:v>73.23</x:v>
      </x:c>
      <x:c r="J215" s="13"/>
      <x:c r="K215" s="13" t="str">
        <x:v>3</x:v>
      </x:c>
      <x:c r="L215" s="13" t="n">
        <x:v>0.99</x:v>
      </x:c>
      <x:c r="M215" s="13" t="n">
        <x:v>0.99</x:v>
      </x:c>
      <x:c r="N215" s="12" t="str">
        <x:v>NO</x:v>
      </x:c>
      <x:c r="O215" s="12" t="str">
        <x:v>siZNF436-1</x:v>
      </x:c>
      <x:c r="P215" s="14" t="str"/>
      <x:c r="Q215" s="12" t="str">
        <x:v>siZNF436-1|||ZNF436-2</x:v>
      </x:c>
    </x:row>
    <x:row r="216">
      <x:c r="A216" s="12" t="str">
        <x:v>M23</x:v>
      </x:c>
      <x:c r="B216" s="12" t="str">
        <x:v>M</x:v>
      </x:c>
      <x:c r="C216" s="12" t="n">
        <x:v>23</x:v>
      </x:c>
      <x:c r="D216" s="12" t="str">
        <x:v>siZNF436-1</x:v>
      </x:c>
      <x:c r="E216" s="12" t="str">
        <x:v>ZNF436-2</x:v>
      </x:c>
      <x:c r="F216" s="12" t="str">
        <x:v>Target</x:v>
      </x:c>
      <x:c r="G216" s="12" t="n">
        <x:v>3</x:v>
      </x:c>
      <x:c r="H216" s="13" t="n">
        <x:v>25.2</x:v>
      </x:c>
      <x:c r="I216" s="13" t="n">
        <x:v>73.28</x:v>
      </x:c>
      <x:c r="J216" s="13"/>
      <x:c r="K216" s="13" t="str">
        <x:v>3</x:v>
      </x:c>
      <x:c r="L216" s="13" t="n">
        <x:v>0.99</x:v>
      </x:c>
      <x:c r="M216" s="13" t="n">
        <x:v>0.98</x:v>
      </x:c>
      <x:c r="N216" s="12" t="str">
        <x:v>NO</x:v>
      </x:c>
      <x:c r="O216" s="12" t="str">
        <x:v>siZNF436-1</x:v>
      </x:c>
      <x:c r="P216" s="14" t="str"/>
      <x:c r="Q216" s="12" t="str">
        <x:v>siZNF436-1|||ZNF436-2</x:v>
      </x:c>
    </x:row>
    <x:row r="217">
      <x:c r="A217" s="12" t="str">
        <x:v>M24</x:v>
      </x:c>
      <x:c r="B217" s="12" t="str">
        <x:v>M</x:v>
      </x:c>
      <x:c r="C217" s="12" t="n">
        <x:v>24</x:v>
      </x:c>
      <x:c r="D217" s="12" t="str">
        <x:v>siZNF436-1</x:v>
      </x:c>
      <x:c r="E217" s="12" t="str">
        <x:v>ZNF436-2</x:v>
      </x:c>
      <x:c r="F217" s="12" t="str">
        <x:v>Target</x:v>
      </x:c>
      <x:c r="G217" s="12" t="n">
        <x:v>4</x:v>
      </x:c>
      <x:c r="H217" s="13" t="n">
        <x:v>25.24</x:v>
      </x:c>
      <x:c r="I217" s="13" t="n">
        <x:v>73.25</x:v>
      </x:c>
      <x:c r="J217" s="13"/>
      <x:c r="K217" s="13" t="str">
        <x:v>3</x:v>
      </x:c>
      <x:c r="L217" s="13" t="n">
        <x:v>0.99</x:v>
      </x:c>
      <x:c r="M217" s="13" t="n">
        <x:v>0.98</x:v>
      </x:c>
      <x:c r="N217" s="12" t="str">
        <x:v>NO</x:v>
      </x:c>
      <x:c r="O217" s="12" t="str">
        <x:v>siZNF436-1</x:v>
      </x:c>
      <x:c r="P217" s="14" t="str"/>
      <x:c r="Q217" s="12" t="str">
        <x:v>siZNF436-1|||ZNF436-2</x:v>
      </x:c>
    </x:row>
    <x:row r="218">
      <x:c r="A218" s="12" t="str">
        <x:v>O1</x:v>
      </x:c>
      <x:c r="B218" s="12" t="str">
        <x:v>O</x:v>
      </x:c>
      <x:c r="C218" s="12" t="n">
        <x:v>1</x:v>
      </x:c>
      <x:c r="D218" s="12" t="str">
        <x:v>siZNF436-2</x:v>
      </x:c>
      <x:c r="E218" s="12" t="str">
        <x:v>GAPDH</x:v>
      </x:c>
      <x:c r="F218" s="12" t="str">
        <x:v>Reference</x:v>
      </x:c>
      <x:c r="G218" s="12" t="n">
        <x:v>1</x:v>
      </x:c>
      <x:c r="H218" s="13" t="n">
        <x:v>15.95</x:v>
      </x:c>
      <x:c r="I218" s="13" t="n">
        <x:v>86.01</x:v>
      </x:c>
      <x:c r="J218" s="13"/>
      <x:c r="K218" s="13" t="str">
        <x:v>1</x:v>
      </x:c>
      <x:c r="L218" s="13" t="n">
        <x:v>0.89</x:v>
      </x:c>
      <x:c r="M218" s="13" t="n">
        <x:v>0.49</x:v>
      </x:c>
      <x:c r="N218" s="12" t="str">
        <x:v>NO</x:v>
      </x:c>
      <x:c r="O218" s="12" t="str">
        <x:v>siZNF436-2</x:v>
      </x:c>
      <x:c r="P218" s="14" t="str"/>
      <x:c r="Q218" s="12" t="str">
        <x:v>siZNF436-2|||GAPDH</x:v>
      </x:c>
    </x:row>
    <x:row r="219">
      <x:c r="A219" s="12" t="str">
        <x:v>O2</x:v>
      </x:c>
      <x:c r="B219" s="12" t="str">
        <x:v>O</x:v>
      </x:c>
      <x:c r="C219" s="12" t="n">
        <x:v>2</x:v>
      </x:c>
      <x:c r="D219" s="12" t="str">
        <x:v>siZNF436-2</x:v>
      </x:c>
      <x:c r="E219" s="12" t="str">
        <x:v>GAPDH</x:v>
      </x:c>
      <x:c r="F219" s="12" t="str">
        <x:v>Reference</x:v>
      </x:c>
      <x:c r="G219" s="12" t="n">
        <x:v>2</x:v>
      </x:c>
      <x:c r="H219" s="13" t="n">
        <x:v>16.06</x:v>
      </x:c>
      <x:c r="I219" s="13" t="n">
        <x:v>86.08</x:v>
      </x:c>
      <x:c r="J219" s="13"/>
      <x:c r="K219" s="13" t="str">
        <x:v>1</x:v>
      </x:c>
      <x:c r="L219" s="13" t="n">
        <x:v>0.88</x:v>
      </x:c>
      <x:c r="M219" s="13" t="n">
        <x:v>0.49</x:v>
      </x:c>
      <x:c r="N219" s="12" t="str">
        <x:v>NO</x:v>
      </x:c>
      <x:c r="O219" s="12" t="str">
        <x:v>siZNF436-2</x:v>
      </x:c>
      <x:c r="P219" s="14" t="str"/>
      <x:c r="Q219" s="12" t="str">
        <x:v>siZNF436-2|||GAPDH</x:v>
      </x:c>
    </x:row>
    <x:row r="220">
      <x:c r="A220" s="12" t="str">
        <x:v>O3</x:v>
      </x:c>
      <x:c r="B220" s="12" t="str">
        <x:v>O</x:v>
      </x:c>
      <x:c r="C220" s="12" t="n">
        <x:v>3</x:v>
      </x:c>
      <x:c r="D220" s="12" t="str">
        <x:v>siZNF436-2</x:v>
      </x:c>
      <x:c r="E220" s="12" t="str">
        <x:v>GAPDH</x:v>
      </x:c>
      <x:c r="F220" s="12" t="str">
        <x:v>Reference</x:v>
      </x:c>
      <x:c r="G220" s="12" t="n">
        <x:v>3</x:v>
      </x:c>
      <x:c r="H220" s="13" t="n">
        <x:v>16.04</x:v>
      </x:c>
      <x:c r="I220" s="13" t="n">
        <x:v>86.07</x:v>
      </x:c>
      <x:c r="J220" s="13"/>
      <x:c r="K220" s="13" t="str">
        <x:v>1</x:v>
      </x:c>
      <x:c r="L220" s="13" t="n">
        <x:v>0.88</x:v>
      </x:c>
      <x:c r="M220" s="13" t="n">
        <x:v>0.49</x:v>
      </x:c>
      <x:c r="N220" s="12" t="str">
        <x:v>NO</x:v>
      </x:c>
      <x:c r="O220" s="12" t="str">
        <x:v>siZNF436-2</x:v>
      </x:c>
      <x:c r="P220" s="14" t="str"/>
      <x:c r="Q220" s="12" t="str">
        <x:v>siZNF436-2|||GAPDH</x:v>
      </x:c>
    </x:row>
    <x:row r="221">
      <x:c r="A221" s="12" t="str">
        <x:v>O4</x:v>
      </x:c>
      <x:c r="B221" s="12" t="str">
        <x:v>O</x:v>
      </x:c>
      <x:c r="C221" s="12" t="n">
        <x:v>4</x:v>
      </x:c>
      <x:c r="D221" s="12" t="str">
        <x:v>siZNF436-2</x:v>
      </x:c>
      <x:c r="E221" s="12" t="str">
        <x:v>GAPDH</x:v>
      </x:c>
      <x:c r="F221" s="12" t="str">
        <x:v>Reference</x:v>
      </x:c>
      <x:c r="G221" s="12" t="n">
        <x:v>4</x:v>
      </x:c>
      <x:c r="H221" s="13" t="n">
        <x:v>16.02</x:v>
      </x:c>
      <x:c r="I221" s="13" t="n">
        <x:v>86.03</x:v>
      </x:c>
      <x:c r="J221" s="13"/>
      <x:c r="K221" s="13" t="str">
        <x:v>1</x:v>
      </x:c>
      <x:c r="L221" s="13" t="n">
        <x:v>0.89</x:v>
      </x:c>
      <x:c r="M221" s="13" t="n">
        <x:v>0.49</x:v>
      </x:c>
      <x:c r="N221" s="12" t="str">
        <x:v>NO</x:v>
      </x:c>
      <x:c r="O221" s="12" t="str">
        <x:v>siZNF436-2</x:v>
      </x:c>
      <x:c r="P221" s="14" t="str"/>
      <x:c r="Q221" s="12" t="str">
        <x:v>siZNF436-2|||GAPDH</x:v>
      </x:c>
    </x:row>
    <x:row r="222">
      <x:c r="A222" s="12" t="str">
        <x:v>O5</x:v>
      </x:c>
      <x:c r="B222" s="12" t="str">
        <x:v>O</x:v>
      </x:c>
      <x:c r="C222" s="12" t="n">
        <x:v>5</x:v>
      </x:c>
      <x:c r="D222" s="12" t="str">
        <x:v>siZNF436-2</x:v>
      </x:c>
      <x:c r="E222" s="12" t="str">
        <x:v>TBP</x:v>
      </x:c>
      <x:c r="F222" s="12" t="str">
        <x:v>Reference</x:v>
      </x:c>
      <x:c r="G222" s="12" t="n">
        <x:v>1</x:v>
      </x:c>
      <x:c r="H222" s="13" t="n">
        <x:v>24.92</x:v>
      </x:c>
      <x:c r="I222" s="13" t="n">
        <x:v>80.33</x:v>
      </x:c>
      <x:c r="J222" s="13"/>
      <x:c r="K222" s="13" t="str">
        <x:v>1</x:v>
      </x:c>
      <x:c r="L222" s="13" t="n">
        <x:v>0.99</x:v>
      </x:c>
      <x:c r="M222" s="13" t="n">
        <x:v>0.21</x:v>
      </x:c>
      <x:c r="N222" s="12" t="str">
        <x:v>NO</x:v>
      </x:c>
      <x:c r="O222" s="12" t="str">
        <x:v>siZNF436-2</x:v>
      </x:c>
      <x:c r="P222" s="14" t="str"/>
      <x:c r="Q222" s="12" t="str">
        <x:v>siZNF436-2|||TBP</x:v>
      </x:c>
    </x:row>
    <x:row r="223">
      <x:c r="A223" s="12" t="str">
        <x:v>O6</x:v>
      </x:c>
      <x:c r="B223" s="12" t="str">
        <x:v>O</x:v>
      </x:c>
      <x:c r="C223" s="12" t="n">
        <x:v>6</x:v>
      </x:c>
      <x:c r="D223" s="12" t="str">
        <x:v>siZNF436-2</x:v>
      </x:c>
      <x:c r="E223" s="12" t="str">
        <x:v>TBP</x:v>
      </x:c>
      <x:c r="F223" s="12" t="str">
        <x:v>Reference</x:v>
      </x:c>
      <x:c r="G223" s="12" t="n">
        <x:v>2</x:v>
      </x:c>
      <x:c r="H223" s="13" t="n">
        <x:v>25.04</x:v>
      </x:c>
      <x:c r="I223" s="13" t="n">
        <x:v>80.28</x:v>
      </x:c>
      <x:c r="J223" s="13"/>
      <x:c r="K223" s="13" t="str">
        <x:v>1</x:v>
      </x:c>
      <x:c r="L223" s="13" t="n">
        <x:v>0.99</x:v>
      </x:c>
      <x:c r="M223" s="13" t="n">
        <x:v>0.19</x:v>
      </x:c>
      <x:c r="N223" s="12" t="str">
        <x:v>NO</x:v>
      </x:c>
      <x:c r="O223" s="12" t="str">
        <x:v>siZNF436-2</x:v>
      </x:c>
      <x:c r="P223" s="14" t="str"/>
      <x:c r="Q223" s="12" t="str">
        <x:v>siZNF436-2|||TBP</x:v>
      </x:c>
    </x:row>
    <x:row r="224">
      <x:c r="A224" s="12" t="str">
        <x:v>O7</x:v>
      </x:c>
      <x:c r="B224" s="12" t="str">
        <x:v>O</x:v>
      </x:c>
      <x:c r="C224" s="12" t="n">
        <x:v>7</x:v>
      </x:c>
      <x:c r="D224" s="12" t="str">
        <x:v>siZNF436-2</x:v>
      </x:c>
      <x:c r="E224" s="12" t="str">
        <x:v>TBP</x:v>
      </x:c>
      <x:c r="F224" s="12" t="str">
        <x:v>Reference</x:v>
      </x:c>
      <x:c r="G224" s="12" t="n">
        <x:v>3</x:v>
      </x:c>
      <x:c r="H224" s="13" t="n">
        <x:v>24.83</x:v>
      </x:c>
      <x:c r="I224" s="13" t="n">
        <x:v>80.31</x:v>
      </x:c>
      <x:c r="J224" s="13"/>
      <x:c r="K224" s="13" t="str">
        <x:v>1</x:v>
      </x:c>
      <x:c r="L224" s="13" t="n">
        <x:v>0.99</x:v>
      </x:c>
      <x:c r="M224" s="13" t="n">
        <x:v>0.2</x:v>
      </x:c>
      <x:c r="N224" s="12" t="str">
        <x:v>NO</x:v>
      </x:c>
      <x:c r="O224" s="12" t="str">
        <x:v>siZNF436-2</x:v>
      </x:c>
      <x:c r="P224" s="14" t="str"/>
      <x:c r="Q224" s="12" t="str">
        <x:v>siZNF436-2|||TBP</x:v>
      </x:c>
    </x:row>
    <x:row r="225">
      <x:c r="A225" s="12" t="str">
        <x:v>O8</x:v>
      </x:c>
      <x:c r="B225" s="12" t="str">
        <x:v>O</x:v>
      </x:c>
      <x:c r="C225" s="12" t="n">
        <x:v>8</x:v>
      </x:c>
      <x:c r="D225" s="12" t="str">
        <x:v>siZNF436-2</x:v>
      </x:c>
      <x:c r="E225" s="12" t="str">
        <x:v>TBP</x:v>
      </x:c>
      <x:c r="F225" s="12" t="str">
        <x:v>Reference</x:v>
      </x:c>
      <x:c r="G225" s="12" t="n">
        <x:v>4</x:v>
      </x:c>
      <x:c r="H225" s="13" t="n">
        <x:v>25.11</x:v>
      </x:c>
      <x:c r="I225" s="13" t="n">
        <x:v>80.18</x:v>
      </x:c>
      <x:c r="J225" s="13"/>
      <x:c r="K225" s="13" t="str">
        <x:v>1</x:v>
      </x:c>
      <x:c r="L225" s="13" t="n">
        <x:v>0.99</x:v>
      </x:c>
      <x:c r="M225" s="13" t="n">
        <x:v>0.24</x:v>
      </x:c>
      <x:c r="N225" s="12" t="str">
        <x:v>NO</x:v>
      </x:c>
      <x:c r="O225" s="12" t="str">
        <x:v>siZNF436-2</x:v>
      </x:c>
      <x:c r="P225" s="14" t="str"/>
      <x:c r="Q225" s="12" t="str">
        <x:v>siZNF436-2|||TBP</x:v>
      </x:c>
    </x:row>
    <x:row r="226">
      <x:c r="A226" s="12" t="str">
        <x:v>O9</x:v>
      </x:c>
      <x:c r="B226" s="12" t="str">
        <x:v>O</x:v>
      </x:c>
      <x:c r="C226" s="12" t="n">
        <x:v>9</x:v>
      </x:c>
      <x:c r="D226" s="12" t="str">
        <x:v>siZNF436-2</x:v>
      </x:c>
      <x:c r="E226" s="12" t="str">
        <x:v>FBN2-1</x:v>
      </x:c>
      <x:c r="F226" s="12" t="str">
        <x:v>Target</x:v>
      </x:c>
      <x:c r="G226" s="12" t="n">
        <x:v>1</x:v>
      </x:c>
      <x:c r="H226" s="13" t="n">
        <x:v>23.53</x:v>
      </x:c>
      <x:c r="I226" s="13" t="n">
        <x:v>79.22</x:v>
      </x:c>
      <x:c r="J226" s="13"/>
      <x:c r="K226" s="13" t="str">
        <x:v>2</x:v>
      </x:c>
      <x:c r="L226" s="13" t="n">
        <x:v>0.98</x:v>
      </x:c>
      <x:c r="M226" s="13" t="n">
        <x:v>0.45</x:v>
      </x:c>
      <x:c r="N226" s="12" t="str">
        <x:v>NO</x:v>
      </x:c>
      <x:c r="O226" s="12" t="str">
        <x:v>siZNF436-2</x:v>
      </x:c>
      <x:c r="P226" s="14" t="str"/>
      <x:c r="Q226" s="12" t="str">
        <x:v>siZNF436-2|||FBN2-1</x:v>
      </x:c>
    </x:row>
    <x:row r="227">
      <x:c r="A227" s="12" t="str">
        <x:v>O10</x:v>
      </x:c>
      <x:c r="B227" s="12" t="str">
        <x:v>O</x:v>
      </x:c>
      <x:c r="C227" s="12" t="n">
        <x:v>10</x:v>
      </x:c>
      <x:c r="D227" s="12" t="str">
        <x:v>siZNF436-2</x:v>
      </x:c>
      <x:c r="E227" s="12" t="str">
        <x:v>FBN2-1</x:v>
      </x:c>
      <x:c r="F227" s="12" t="str">
        <x:v>Target</x:v>
      </x:c>
      <x:c r="G227" s="12" t="n">
        <x:v>2</x:v>
      </x:c>
      <x:c r="H227" s="13" t="n">
        <x:v>23.63</x:v>
      </x:c>
      <x:c r="I227" s="13" t="n">
        <x:v>79.34</x:v>
      </x:c>
      <x:c r="J227" s="13"/>
      <x:c r="K227" s="13" t="str">
        <x:v>2</x:v>
      </x:c>
      <x:c r="L227" s="13" t="n">
        <x:v>0.98</x:v>
      </x:c>
      <x:c r="M227" s="13" t="n">
        <x:v>0.42</x:v>
      </x:c>
      <x:c r="N227" s="12" t="str">
        <x:v>NO</x:v>
      </x:c>
      <x:c r="O227" s="12" t="str">
        <x:v>siZNF436-2</x:v>
      </x:c>
      <x:c r="P227" s="14" t="str">
        <x:v>列10：修正板图备注‘可能加了两遍cDNA’，范围需实验记录确认</x:v>
      </x:c>
      <x:c r="Q227" s="12" t="str">
        <x:v>siZNF436-2|||FBN2-1</x:v>
      </x:c>
    </x:row>
    <x:row r="228">
      <x:c r="A228" s="12" t="str">
        <x:v>O11</x:v>
      </x:c>
      <x:c r="B228" s="12" t="str">
        <x:v>O</x:v>
      </x:c>
      <x:c r="C228" s="12" t="n">
        <x:v>11</x:v>
      </x:c>
      <x:c r="D228" s="12" t="str">
        <x:v>siZNF436-2</x:v>
      </x:c>
      <x:c r="E228" s="12" t="str">
        <x:v>FBN2-1</x:v>
      </x:c>
      <x:c r="F228" s="12" t="str">
        <x:v>Target</x:v>
      </x:c>
      <x:c r="G228" s="12" t="n">
        <x:v>3</x:v>
      </x:c>
      <x:c r="H228" s="13" t="n">
        <x:v>23.74</x:v>
      </x:c>
      <x:c r="I228" s="13" t="n">
        <x:v>79.33</x:v>
      </x:c>
      <x:c r="J228" s="13"/>
      <x:c r="K228" s="13" t="str">
        <x:v>2</x:v>
      </x:c>
      <x:c r="L228" s="13" t="n">
        <x:v>0.99</x:v>
      </x:c>
      <x:c r="M228" s="13" t="n">
        <x:v>0.41</x:v>
      </x:c>
      <x:c r="N228" s="12" t="str">
        <x:v>NO</x:v>
      </x:c>
      <x:c r="O228" s="12" t="str">
        <x:v>siZNF436-2</x:v>
      </x:c>
      <x:c r="P228" s="14" t="str"/>
      <x:c r="Q228" s="12" t="str">
        <x:v>siZNF436-2|||FBN2-1</x:v>
      </x:c>
    </x:row>
    <x:row r="229">
      <x:c r="A229" s="12" t="str">
        <x:v>O12</x:v>
      </x:c>
      <x:c r="B229" s="12" t="str">
        <x:v>O</x:v>
      </x:c>
      <x:c r="C229" s="12" t="n">
        <x:v>12</x:v>
      </x:c>
      <x:c r="D229" s="12" t="str">
        <x:v>siZNF436-2</x:v>
      </x:c>
      <x:c r="E229" s="12" t="str">
        <x:v>FBN2-1</x:v>
      </x:c>
      <x:c r="F229" s="12" t="str">
        <x:v>Target</x:v>
      </x:c>
      <x:c r="G229" s="12" t="n">
        <x:v>4</x:v>
      </x:c>
      <x:c r="H229" s="13" t="n">
        <x:v>23.76</x:v>
      </x:c>
      <x:c r="I229" s="13" t="n">
        <x:v>79.35</x:v>
      </x:c>
      <x:c r="J229" s="13"/>
      <x:c r="K229" s="13" t="str">
        <x:v>2</x:v>
      </x:c>
      <x:c r="L229" s="13" t="n">
        <x:v>0.98</x:v>
      </x:c>
      <x:c r="M229" s="13" t="n">
        <x:v>0.42</x:v>
      </x:c>
      <x:c r="N229" s="12" t="str">
        <x:v>NO</x:v>
      </x:c>
      <x:c r="O229" s="12" t="str">
        <x:v>siZNF436-2</x:v>
      </x:c>
      <x:c r="P229" s="14" t="str"/>
      <x:c r="Q229" s="12" t="str">
        <x:v>siZNF436-2|||FBN2-1</x:v>
      </x:c>
    </x:row>
    <x:row r="230">
      <x:c r="A230" s="12" t="str">
        <x:v>O13</x:v>
      </x:c>
      <x:c r="B230" s="12" t="str">
        <x:v>O</x:v>
      </x:c>
      <x:c r="C230" s="12" t="n">
        <x:v>13</x:v>
      </x:c>
      <x:c r="D230" s="12" t="str">
        <x:v>siZNF436-2</x:v>
      </x:c>
      <x:c r="E230" s="12" t="str">
        <x:v>FBN2-2</x:v>
      </x:c>
      <x:c r="F230" s="12" t="str">
        <x:v>Target</x:v>
      </x:c>
      <x:c r="G230" s="12" t="n">
        <x:v>1</x:v>
      </x:c>
      <x:c r="H230" s="13" t="n">
        <x:v>23.58</x:v>
      </x:c>
      <x:c r="I230" s="13" t="n">
        <x:v>83.57</x:v>
      </x:c>
      <x:c r="J230" s="13"/>
      <x:c r="K230" s="13" t="str">
        <x:v>1</x:v>
      </x:c>
      <x:c r="L230" s="13" t="n">
        <x:v>0.97</x:v>
      </x:c>
      <x:c r="M230" s="13" t="n">
        <x:v>0.24</x:v>
      </x:c>
      <x:c r="N230" s="12" t="str">
        <x:v>NO</x:v>
      </x:c>
      <x:c r="O230" s="12" t="str">
        <x:v>siZNF436-2</x:v>
      </x:c>
      <x:c r="P230" s="14" t="str"/>
      <x:c r="Q230" s="12" t="str">
        <x:v>siZNF436-2|||FBN2-2</x:v>
      </x:c>
    </x:row>
    <x:row r="231">
      <x:c r="A231" s="12" t="str">
        <x:v>O14</x:v>
      </x:c>
      <x:c r="B231" s="12" t="str">
        <x:v>O</x:v>
      </x:c>
      <x:c r="C231" s="12" t="n">
        <x:v>14</x:v>
      </x:c>
      <x:c r="D231" s="12" t="str">
        <x:v>Mock</x:v>
      </x:c>
      <x:c r="E231" s="12" t="str">
        <x:v>FBN2-2</x:v>
      </x:c>
      <x:c r="F231" s="12" t="str">
        <x:v>Target</x:v>
      </x:c>
      <x:c r="G231" s="12" t="n">
        <x:v>2</x:v>
      </x:c>
      <x:c r="H231" s="13" t="n">
        <x:v>23.89</x:v>
      </x:c>
      <x:c r="I231" s="13" t="n">
        <x:v>83.56</x:v>
      </x:c>
      <x:c r="J231" s="13"/>
      <x:c r="K231" s="13" t="str">
        <x:v>1</x:v>
      </x:c>
      <x:c r="L231" s="13" t="n">
        <x:v>0.94</x:v>
      </x:c>
      <x:c r="M231" s="13" t="n">
        <x:v>0.18</x:v>
      </x:c>
      <x:c r="N231" s="12" t="str">
        <x:v>YES</x:v>
      </x:c>
      <x:c r="O231" s="12" t="str">
        <x:v>siZNF436-2</x:v>
      </x:c>
      <x:c r="P231" s="14" t="str">
        <x:v>列14：cDNA样本整体向上错位一位，已按修正板图重映射</x:v>
      </x:c>
      <x:c r="Q231" s="12" t="str">
        <x:v>Mock|||FBN2-2</x:v>
      </x:c>
    </x:row>
    <x:row r="232">
      <x:c r="A232" s="12" t="str">
        <x:v>O15</x:v>
      </x:c>
      <x:c r="B232" s="12" t="str">
        <x:v>O</x:v>
      </x:c>
      <x:c r="C232" s="12" t="n">
        <x:v>15</x:v>
      </x:c>
      <x:c r="D232" s="12" t="str">
        <x:v>siZNF436-2</x:v>
      </x:c>
      <x:c r="E232" s="12" t="str">
        <x:v>FBN2-2</x:v>
      </x:c>
      <x:c r="F232" s="12" t="str">
        <x:v>Target</x:v>
      </x:c>
      <x:c r="G232" s="12" t="n">
        <x:v>3</x:v>
      </x:c>
      <x:c r="H232" s="13" t="n">
        <x:v>23.75</x:v>
      </x:c>
      <x:c r="I232" s="13" t="n">
        <x:v>83.66</x:v>
      </x:c>
      <x:c r="J232" s="13"/>
      <x:c r="K232" s="13" t="str">
        <x:v>1</x:v>
      </x:c>
      <x:c r="L232" s="13" t="n">
        <x:v>0.96</x:v>
      </x:c>
      <x:c r="M232" s="13" t="n">
        <x:v>0.23</x:v>
      </x:c>
      <x:c r="N232" s="12" t="str">
        <x:v>NO</x:v>
      </x:c>
      <x:c r="O232" s="12" t="str">
        <x:v>siZNF436-2</x:v>
      </x:c>
      <x:c r="P232" s="14" t="str"/>
      <x:c r="Q232" s="12" t="str">
        <x:v>siZNF436-2|||FBN2-2</x:v>
      </x:c>
    </x:row>
    <x:row r="233">
      <x:c r="A233" s="12" t="str">
        <x:v>O16</x:v>
      </x:c>
      <x:c r="B233" s="12" t="str">
        <x:v>O</x:v>
      </x:c>
      <x:c r="C233" s="12" t="n">
        <x:v>16</x:v>
      </x:c>
      <x:c r="D233" s="12" t="str">
        <x:v>siZNF436-2</x:v>
      </x:c>
      <x:c r="E233" s="12" t="str">
        <x:v>FBN2-2</x:v>
      </x:c>
      <x:c r="F233" s="12" t="str">
        <x:v>Target</x:v>
      </x:c>
      <x:c r="G233" s="12" t="n">
        <x:v>4</x:v>
      </x:c>
      <x:c r="H233" s="13" t="n">
        <x:v>23.71</x:v>
      </x:c>
      <x:c r="I233" s="13" t="n">
        <x:v>83.59</x:v>
      </x:c>
      <x:c r="J233" s="13"/>
      <x:c r="K233" s="13" t="str">
        <x:v>1</x:v>
      </x:c>
      <x:c r="L233" s="13" t="n">
        <x:v>0.93</x:v>
      </x:c>
      <x:c r="M233" s="13" t="n">
        <x:v>0.15</x:v>
      </x:c>
      <x:c r="N233" s="12" t="str">
        <x:v>NO</x:v>
      </x:c>
      <x:c r="O233" s="12" t="str">
        <x:v>siZNF436-2</x:v>
      </x:c>
      <x:c r="P233" s="14" t="str"/>
      <x:c r="Q233" s="12" t="str">
        <x:v>siZNF436-2|||FBN2-2</x:v>
      </x:c>
    </x:row>
    <x:row r="234">
      <x:c r="A234" s="12" t="str">
        <x:v>O17</x:v>
      </x:c>
      <x:c r="B234" s="12" t="str">
        <x:v>O</x:v>
      </x:c>
      <x:c r="C234" s="12" t="n">
        <x:v>17</x:v>
      </x:c>
      <x:c r="D234" s="12" t="str">
        <x:v>siZNF436-2</x:v>
      </x:c>
      <x:c r="E234" s="12" t="str">
        <x:v>ZNF436-1</x:v>
      </x:c>
      <x:c r="F234" s="12" t="str">
        <x:v>Target</x:v>
      </x:c>
      <x:c r="G234" s="12" t="n">
        <x:v>1</x:v>
      </x:c>
      <x:c r="H234" s="13" t="n">
        <x:v>28.83</x:v>
      </x:c>
      <x:c r="I234" s="13" t="n">
        <x:v>76.84</x:v>
      </x:c>
      <x:c r="J234" s="13"/>
      <x:c r="K234" s="13" t="str">
        <x:v>3</x:v>
      </x:c>
      <x:c r="L234" s="13" t="n">
        <x:v>0.81</x:v>
      </x:c>
      <x:c r="M234" s="13" t="n">
        <x:v>0.33</x:v>
      </x:c>
      <x:c r="N234" s="12" t="str">
        <x:v>NO</x:v>
      </x:c>
      <x:c r="O234" s="12" t="str">
        <x:v>siZNF436-2</x:v>
      </x:c>
      <x:c r="P234" s="14" t="str"/>
      <x:c r="Q234" s="12" t="str">
        <x:v>siZNF436-2|||ZNF436-1</x:v>
      </x:c>
    </x:row>
    <x:row r="235">
      <x:c r="A235" s="12" t="str">
        <x:v>O18</x:v>
      </x:c>
      <x:c r="B235" s="12" t="str">
        <x:v>O</x:v>
      </x:c>
      <x:c r="C235" s="12" t="n">
        <x:v>18</x:v>
      </x:c>
      <x:c r="D235" s="12" t="str">
        <x:v>siZNF436-2</x:v>
      </x:c>
      <x:c r="E235" s="12" t="str">
        <x:v>ZNF436-1</x:v>
      </x:c>
      <x:c r="F235" s="12" t="str">
        <x:v>Target</x:v>
      </x:c>
      <x:c r="G235" s="12" t="n">
        <x:v>2</x:v>
      </x:c>
      <x:c r="H235" s="13" t="n">
        <x:v>28.91</x:v>
      </x:c>
      <x:c r="I235" s="13" t="n">
        <x:v>76.96</x:v>
      </x:c>
      <x:c r="J235" s="13"/>
      <x:c r="K235" s="13" t="str">
        <x:v>3</x:v>
      </x:c>
      <x:c r="L235" s="13" t="n">
        <x:v>0.85</x:v>
      </x:c>
      <x:c r="M235" s="13" t="n">
        <x:v>0.31</x:v>
      </x:c>
      <x:c r="N235" s="12" t="str">
        <x:v>NO</x:v>
      </x:c>
      <x:c r="O235" s="12" t="str">
        <x:v>siZNF436-2</x:v>
      </x:c>
      <x:c r="P235" s="14" t="str"/>
      <x:c r="Q235" s="12" t="str">
        <x:v>siZNF436-2|||ZNF436-1</x:v>
      </x:c>
    </x:row>
    <x:row r="236">
      <x:c r="A236" s="12" t="str">
        <x:v>O19</x:v>
      </x:c>
      <x:c r="B236" s="12" t="str">
        <x:v>O</x:v>
      </x:c>
      <x:c r="C236" s="12" t="n">
        <x:v>19</x:v>
      </x:c>
      <x:c r="D236" s="12" t="str">
        <x:v>siZNF436-2</x:v>
      </x:c>
      <x:c r="E236" s="12" t="str">
        <x:v>ZNF436-1</x:v>
      </x:c>
      <x:c r="F236" s="12" t="str">
        <x:v>Target</x:v>
      </x:c>
      <x:c r="G236" s="12" t="n">
        <x:v>3</x:v>
      </x:c>
      <x:c r="H236" s="13" t="n">
        <x:v>29.16</x:v>
      </x:c>
      <x:c r="I236" s="13" t="n">
        <x:v>77.41</x:v>
      </x:c>
      <x:c r="J236" s="13"/>
      <x:c r="K236" s="13" t="str">
        <x:v>3</x:v>
      </x:c>
      <x:c r="L236" s="13" t="n">
        <x:v>0.75</x:v>
      </x:c>
      <x:c r="M236" s="13" t="n">
        <x:v>0.11</x:v>
      </x:c>
      <x:c r="N236" s="12" t="str">
        <x:v>NO</x:v>
      </x:c>
      <x:c r="O236" s="12" t="str">
        <x:v>siZNF436-2</x:v>
      </x:c>
      <x:c r="P236" s="14" t="str"/>
      <x:c r="Q236" s="12" t="str">
        <x:v>siZNF436-2|||ZNF436-1</x:v>
      </x:c>
    </x:row>
    <x:row r="237">
      <x:c r="A237" s="12" t="str">
        <x:v>O20</x:v>
      </x:c>
      <x:c r="B237" s="12" t="str">
        <x:v>O</x:v>
      </x:c>
      <x:c r="C237" s="12" t="n">
        <x:v>20</x:v>
      </x:c>
      <x:c r="D237" s="12" t="str">
        <x:v>siZNF436-2</x:v>
      </x:c>
      <x:c r="E237" s="12" t="str">
        <x:v>ZNF436-1</x:v>
      </x:c>
      <x:c r="F237" s="12" t="str">
        <x:v>Target</x:v>
      </x:c>
      <x:c r="G237" s="12" t="n">
        <x:v>4</x:v>
      </x:c>
      <x:c r="H237" s="13" t="n">
        <x:v>29.02</x:v>
      </x:c>
      <x:c r="I237" s="13" t="n">
        <x:v>76.53</x:v>
      </x:c>
      <x:c r="J237" s="13"/>
      <x:c r="K237" s="13" t="str">
        <x:v>3</x:v>
      </x:c>
      <x:c r="L237" s="13" t="n">
        <x:v>0.76</x:v>
      </x:c>
      <x:c r="M237" s="13" t="n">
        <x:v>0.33</x:v>
      </x:c>
      <x:c r="N237" s="12" t="str">
        <x:v>NO</x:v>
      </x:c>
      <x:c r="O237" s="12" t="str">
        <x:v>siZNF436-2</x:v>
      </x:c>
      <x:c r="P237" s="14" t="str"/>
      <x:c r="Q237" s="12" t="str">
        <x:v>siZNF436-2|||ZNF436-1</x:v>
      </x:c>
    </x:row>
    <x:row r="238">
      <x:c r="A238" s="12" t="str">
        <x:v>O21</x:v>
      </x:c>
      <x:c r="B238" s="12" t="str">
        <x:v>O</x:v>
      </x:c>
      <x:c r="C238" s="12" t="n">
        <x:v>21</x:v>
      </x:c>
      <x:c r="D238" s="12" t="str">
        <x:v>siZNF436-2</x:v>
      </x:c>
      <x:c r="E238" s="12" t="str">
        <x:v>ZNF436-2</x:v>
      </x:c>
      <x:c r="F238" s="12" t="str">
        <x:v>Target</x:v>
      </x:c>
      <x:c r="G238" s="12" t="n">
        <x:v>1</x:v>
      </x:c>
      <x:c r="H238" s="13" t="n">
        <x:v>25.15</x:v>
      </x:c>
      <x:c r="I238" s="13" t="n">
        <x:v>73.19</x:v>
      </x:c>
      <x:c r="J238" s="13"/>
      <x:c r="K238" s="13" t="str">
        <x:v>3</x:v>
      </x:c>
      <x:c r="L238" s="13" t="n">
        <x:v>0.99</x:v>
      </x:c>
      <x:c r="M238" s="13" t="n">
        <x:v>0.99</x:v>
      </x:c>
      <x:c r="N238" s="12" t="str">
        <x:v>NO</x:v>
      </x:c>
      <x:c r="O238" s="12" t="str">
        <x:v>siZNF436-2</x:v>
      </x:c>
      <x:c r="P238" s="14" t="str"/>
      <x:c r="Q238" s="12" t="str">
        <x:v>siZNF436-2|||ZNF436-2</x:v>
      </x:c>
    </x:row>
    <x:row r="239">
      <x:c r="A239" s="12" t="str">
        <x:v>O22</x:v>
      </x:c>
      <x:c r="B239" s="12" t="str">
        <x:v>O</x:v>
      </x:c>
      <x:c r="C239" s="12" t="n">
        <x:v>22</x:v>
      </x:c>
      <x:c r="D239" s="12" t="str">
        <x:v>siZNF436-2</x:v>
      </x:c>
      <x:c r="E239" s="12" t="str">
        <x:v>ZNF436-2</x:v>
      </x:c>
      <x:c r="F239" s="12" t="str">
        <x:v>Target</x:v>
      </x:c>
      <x:c r="G239" s="12" t="n">
        <x:v>2</x:v>
      </x:c>
      <x:c r="H239" s="13" t="n">
        <x:v>25.47</x:v>
      </x:c>
      <x:c r="I239" s="13" t="n">
        <x:v>73.23</x:v>
      </x:c>
      <x:c r="J239" s="13"/>
      <x:c r="K239" s="13" t="str">
        <x:v>3</x:v>
      </x:c>
      <x:c r="L239" s="13" t="n">
        <x:v>0.99</x:v>
      </x:c>
      <x:c r="M239" s="13" t="n">
        <x:v>0.99</x:v>
      </x:c>
      <x:c r="N239" s="12" t="str">
        <x:v>NO</x:v>
      </x:c>
      <x:c r="O239" s="12" t="str">
        <x:v>siZNF436-2</x:v>
      </x:c>
      <x:c r="P239" s="14" t="str"/>
      <x:c r="Q239" s="12" t="str">
        <x:v>siZNF436-2|||ZNF436-2</x:v>
      </x:c>
    </x:row>
    <x:row r="240">
      <x:c r="A240" s="12" t="str">
        <x:v>O23</x:v>
      </x:c>
      <x:c r="B240" s="12" t="str">
        <x:v>O</x:v>
      </x:c>
      <x:c r="C240" s="12" t="n">
        <x:v>23</x:v>
      </x:c>
      <x:c r="D240" s="12" t="str">
        <x:v>siZNF436-2</x:v>
      </x:c>
      <x:c r="E240" s="12" t="str">
        <x:v>ZNF436-2</x:v>
      </x:c>
      <x:c r="F240" s="12" t="str">
        <x:v>Target</x:v>
      </x:c>
      <x:c r="G240" s="12" t="n">
        <x:v>3</x:v>
      </x:c>
      <x:c r="H240" s="13" t="n">
        <x:v>25.24</x:v>
      </x:c>
      <x:c r="I240" s="13" t="n">
        <x:v>73.21</x:v>
      </x:c>
      <x:c r="J240" s="13"/>
      <x:c r="K240" s="13" t="str">
        <x:v>3</x:v>
      </x:c>
      <x:c r="L240" s="13" t="n">
        <x:v>0.99</x:v>
      </x:c>
      <x:c r="M240" s="13" t="n">
        <x:v>0.99</x:v>
      </x:c>
      <x:c r="N240" s="12" t="str">
        <x:v>NO</x:v>
      </x:c>
      <x:c r="O240" s="12" t="str">
        <x:v>siZNF436-2</x:v>
      </x:c>
      <x:c r="P240" s="14" t="str"/>
      <x:c r="Q240" s="12" t="str">
        <x:v>siZNF436-2|||ZNF436-2</x:v>
      </x:c>
    </x:row>
    <x:row r="241">
      <x:c r="A241" s="12" t="str">
        <x:v>O24</x:v>
      </x:c>
      <x:c r="B241" s="12" t="str">
        <x:v>O</x:v>
      </x:c>
      <x:c r="C241" s="12" t="n">
        <x:v>24</x:v>
      </x:c>
      <x:c r="D241" s="12" t="str">
        <x:v>siZNF436-2</x:v>
      </x:c>
      <x:c r="E241" s="12" t="str">
        <x:v>ZNF436-2</x:v>
      </x:c>
      <x:c r="F241" s="12" t="str">
        <x:v>Target</x:v>
      </x:c>
      <x:c r="G241" s="12" t="n">
        <x:v>4</x:v>
      </x:c>
      <x:c r="H241" s="13" t="n">
        <x:v>25.09</x:v>
      </x:c>
      <x:c r="I241" s="13" t="n">
        <x:v>73.26</x:v>
      </x:c>
      <x:c r="J241" s="13"/>
      <x:c r="K241" s="13" t="str">
        <x:v>3</x:v>
      </x:c>
      <x:c r="L241" s="13" t="n">
        <x:v>0.99</x:v>
      </x:c>
      <x:c r="M241" s="13" t="n">
        <x:v>0.98</x:v>
      </x:c>
      <x:c r="N241" s="12" t="str">
        <x:v>NO</x:v>
      </x:c>
      <x:c r="O241" s="12" t="str">
        <x:v>siZNF436-2</x:v>
      </x:c>
      <x:c r="P241" s="14" t="str"/>
      <x:c r="Q241" s="12" t="str">
        <x:v>siZNF436-2|||ZNF436-2</x:v>
      </x:c>
    </x:row>
  </x:sheetData>
  <x:conditionalFormatting sqref="N2:N241">
    <x:cfRule type="containsText" dxfId="0" priority="1" operator="containsText" text="YES"/>
  </x:conditionalFormatting>
  <x:conditionalFormatting sqref="P2:P241">
    <x:cfRule type="notContainsBlanks" dxfId="1" priority="2"/>
  </x:conditionalFormatting>
  <x:pageMargins left="0.7" right="0.7" top="0.75" bottom="0.75" header="0.3" footer="0.3"/>
  <x:tableParts count="1">
    <x:tablePart xmlns:r="http://schemas.openxmlformats.org/officeDocument/2006/relationships" r:id="R660c9dd0014a41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40" hidden="0" customWidth="1"/>
  </x:cols>
  <x:sheetData>
    <x:row r="1">
      <x:c r="A1" s="9" t="str">
        <x:v>Sample</x:v>
      </x:c>
      <x:c r="B1" s="9" t="str">
        <x:v>Assay</x:v>
      </x:c>
      <x:c r="C1" s="9" t="str">
        <x:v>Well_1</x:v>
      </x:c>
      <x:c r="D1" s="9" t="str">
        <x:v>Well_2</x:v>
      </x:c>
      <x:c r="E1" s="9" t="str">
        <x:v>Well_3</x:v>
      </x:c>
      <x:c r="F1" s="9" t="str">
        <x:v>Well_4</x:v>
      </x:c>
      <x:c r="G1" s="9" t="str">
        <x:v>Detected_Cp</x:v>
      </x:c>
      <x:c r="H1" s="9" t="str">
        <x:v>Mean_Cp</x:v>
      </x:c>
      <x:c r="I1" s="9" t="str">
        <x:v>Cp_SD</x:v>
      </x:c>
      <x:c r="J1" s="9" t="str">
        <x:v>Cp_range</x:v>
      </x:c>
      <x:c r="K1" s="9" t="str">
        <x:v>Mean_Tm_C</x:v>
      </x:c>
      <x:c r="L1" s="9" t="str">
        <x:v>Tm_range_C</x:v>
      </x:c>
      <x:c r="M1" s="9" t="str">
        <x:v>Melt_groups</x:v>
      </x:c>
      <x:c r="N1" s="9" t="str">
        <x:v>Mean_melt_score</x:v>
      </x:c>
      <x:c r="O1" s="9" t="str">
        <x:v>QC_status</x:v>
      </x:c>
      <x:c r="P1" s="9" t="str">
        <x:v>Issues</x:v>
      </x:c>
    </x:row>
    <x:row r="2">
      <x:c r="A2" t="str">
        <x:v>Mock</x:v>
      </x:c>
      <x:c r="B2" t="str">
        <x:v>GAPDH</x:v>
      </x:c>
      <x:c r="C2" t="str">
        <x:v>A1</x:v>
      </x:c>
      <x:c r="D2" t="str">
        <x:v>A2</x:v>
      </x:c>
      <x:c r="E2" t="str">
        <x:v>A3</x:v>
      </x:c>
      <x:c r="F2" t="str">
        <x:v>A4</x:v>
      </x:c>
      <x:c r="G2" t="n">
        <x:v>4</x:v>
      </x:c>
      <x:c r="H2" s="10" t="n">
        <x:f>AVERAGE('Corrected_Wells'!H2,'Corrected_Wells'!H3,'Corrected_Wells'!H4,'Corrected_Wells'!H5)</x:f>
        <x:v>16.48</x:v>
      </x:c>
      <x:c r="I2" s="10" t="n">
        <x:f>STDEV.S('Corrected_Wells'!H2,'Corrected_Wells'!H3,'Corrected_Wells'!H4,'Corrected_Wells'!H5)</x:f>
        <x:v>0.029439202887760068</x:v>
      </x:c>
      <x:c r="J2" s="10" t="n">
        <x:f>MAX('Corrected_Wells'!H2,'Corrected_Wells'!H3,'Corrected_Wells'!H4,'Corrected_Wells'!H5)-MIN('Corrected_Wells'!H2,'Corrected_Wells'!H3,'Corrected_Wells'!H4,'Corrected_Wells'!H5)</x:f>
        <x:v>0.060000000000002274</x:v>
      </x:c>
      <x:c r="K2" s="10" t="n">
        <x:f>AVERAGE('Corrected_Wells'!I2,'Corrected_Wells'!I3,'Corrected_Wells'!I4,'Corrected_Wells'!I5)</x:f>
        <x:v>85.985</x:v>
      </x:c>
      <x:c r="L2" s="10" t="n">
        <x:f>MAX('Corrected_Wells'!I2,'Corrected_Wells'!I3,'Corrected_Wells'!I4,'Corrected_Wells'!I5)-MIN('Corrected_Wells'!I2,'Corrected_Wells'!I3,'Corrected_Wells'!I4,'Corrected_Wells'!I5)</x:f>
        <x:v>0.0799999999999983</x:v>
      </x:c>
      <x:c r="M2" s="10" t="str">
        <x:v>1</x:v>
      </x:c>
      <x:c r="N2" s="10" t="n">
        <x:v>0.88</x:v>
      </x:c>
      <x:c r="O2" t="str">
        <x:f>IF(G2&lt;'README_QC'!$B$16,"FAIL",IF(OR(I2&gt;'README_QC'!$B$14,L2&gt;'README_QC'!$B$15),"FAIL",IF(OR(I2&gt;'README_QC'!$B$13,P2&lt;&gt;""),"REVIEW","PASS")))</x:f>
        <x:v>PASS</x:v>
      </x:c>
      <x:c r="P2" s="15" t="str"/>
    </x:row>
    <x:row r="3">
      <x:c r="A3" t="str">
        <x:v>Mock</x:v>
      </x:c>
      <x:c r="B3" t="str">
        <x:v>TBP</x:v>
      </x:c>
      <x:c r="C3" t="str">
        <x:v>A5</x:v>
      </x:c>
      <x:c r="D3" t="str">
        <x:v>A6</x:v>
      </x:c>
      <x:c r="E3" t="str">
        <x:v>A7</x:v>
      </x:c>
      <x:c r="F3" t="str">
        <x:v>A8</x:v>
      </x:c>
      <x:c r="G3" t="n">
        <x:v>4</x:v>
      </x:c>
      <x:c r="H3" s="10" t="n">
        <x:f>AVERAGE('Corrected_Wells'!H6,'Corrected_Wells'!H7,'Corrected_Wells'!H8,'Corrected_Wells'!H9)</x:f>
        <x:v>25.330000000000002</x:v>
      </x:c>
      <x:c r="I3" s="10" t="n">
        <x:f>STDEV.S('Corrected_Wells'!H6,'Corrected_Wells'!H7,'Corrected_Wells'!H8,'Corrected_Wells'!H9)</x:f>
        <x:v>0.10424330514074598</x:v>
      </x:c>
      <x:c r="J3" s="10" t="n">
        <x:f>MAX('Corrected_Wells'!H6,'Corrected_Wells'!H7,'Corrected_Wells'!H8,'Corrected_Wells'!H9)-MIN('Corrected_Wells'!H6,'Corrected_Wells'!H7,'Corrected_Wells'!H8,'Corrected_Wells'!H9)</x:f>
        <x:v>0.25</x:v>
      </x:c>
      <x:c r="K3" s="10" t="n">
        <x:f>AVERAGE('Corrected_Wells'!I6,'Corrected_Wells'!I7,'Corrected_Wells'!I8,'Corrected_Wells'!I9)</x:f>
        <x:v>80.255</x:v>
      </x:c>
      <x:c r="L3" s="10" t="n">
        <x:f>MAX('Corrected_Wells'!I6,'Corrected_Wells'!I7,'Corrected_Wells'!I8,'Corrected_Wells'!I9)-MIN('Corrected_Wells'!I6,'Corrected_Wells'!I7,'Corrected_Wells'!I8,'Corrected_Wells'!I9)</x:f>
        <x:v>0.030000000000001137</x:v>
      </x:c>
      <x:c r="M3" s="10" t="str">
        <x:v>1</x:v>
      </x:c>
      <x:c r="N3" s="10" t="n">
        <x:v>0.98</x:v>
      </x:c>
      <x:c r="O3" t="str">
        <x:f>IF(G3&lt;'README_QC'!$B$16,"FAIL",IF(OR(I3&gt;'README_QC'!$B$14,L3&gt;'README_QC'!$B$15),"FAIL",IF(OR(I3&gt;'README_QC'!$B$13,P3&lt;&gt;""),"REVIEW","PASS")))</x:f>
        <x:v>PASS</x:v>
      </x:c>
      <x:c r="P3" s="15" t="str"/>
    </x:row>
    <x:row r="4">
      <x:c r="A4" t="str">
        <x:v>Mock</x:v>
      </x:c>
      <x:c r="B4" t="str">
        <x:v>FBN2-1</x:v>
      </x:c>
      <x:c r="C4" t="str">
        <x:v>A9</x:v>
      </x:c>
      <x:c r="D4" t="str">
        <x:v>A10</x:v>
      </x:c>
      <x:c r="E4" t="str">
        <x:v>A11</x:v>
      </x:c>
      <x:c r="F4" t="str">
        <x:v>A12</x:v>
      </x:c>
      <x:c r="G4" t="n">
        <x:v>4</x:v>
      </x:c>
      <x:c r="H4" s="10" t="n">
        <x:f>AVERAGE('Corrected_Wells'!H10,'Corrected_Wells'!H11,'Corrected_Wells'!H12,'Corrected_Wells'!H13)</x:f>
        <x:v>23.9225</x:v>
      </x:c>
      <x:c r="I4" s="10" t="n">
        <x:f>STDEV.S('Corrected_Wells'!H10,'Corrected_Wells'!H11,'Corrected_Wells'!H12,'Corrected_Wells'!H13)</x:f>
        <x:v>0.06344288770224865</x:v>
      </x:c>
      <x:c r="J4" s="10" t="n">
        <x:f>MAX('Corrected_Wells'!H10,'Corrected_Wells'!H11,'Corrected_Wells'!H12,'Corrected_Wells'!H13)-MIN('Corrected_Wells'!H10,'Corrected_Wells'!H11,'Corrected_Wells'!H12,'Corrected_Wells'!H13)</x:f>
        <x:v>0.15000000000000213</x:v>
      </x:c>
      <x:c r="K4" s="10" t="n">
        <x:f>AVERAGE('Corrected_Wells'!I10,'Corrected_Wells'!I11,'Corrected_Wells'!I12,'Corrected_Wells'!I13)</x:f>
        <x:v>79.32</x:v>
      </x:c>
      <x:c r="L4" s="10" t="n">
        <x:f>MAX('Corrected_Wells'!I10,'Corrected_Wells'!I11,'Corrected_Wells'!I12,'Corrected_Wells'!I13)-MIN('Corrected_Wells'!I10,'Corrected_Wells'!I11,'Corrected_Wells'!I12,'Corrected_Wells'!I13)</x:f>
        <x:v>0.09999999999999432</x:v>
      </x:c>
      <x:c r="M4" s="10" t="str">
        <x:v>2</x:v>
      </x:c>
      <x:c r="N4" s="10" t="n">
        <x:v>0.9575</x:v>
      </x:c>
      <x:c r="O4" t="str">
        <x:f>IF(G4&lt;'README_QC'!$B$16,"FAIL",IF(OR(I4&gt;'README_QC'!$B$14,L4&gt;'README_QC'!$B$15),"FAIL",IF(OR(I4&gt;'README_QC'!$B$13,P4&lt;&gt;""),"REVIEW","PASS")))</x:f>
        <x:v>REVIEW</x:v>
      </x:c>
      <x:c r="P4" s="15" t="str">
        <x:v>列10人工备注</x:v>
      </x:c>
    </x:row>
    <x:row r="5">
      <x:c r="A5" t="str">
        <x:v>Mock</x:v>
      </x:c>
      <x:c r="B5" t="str">
        <x:v>FBN2-2</x:v>
      </x:c>
      <x:c r="C5" t="str">
        <x:v>A13</x:v>
      </x:c>
      <x:c r="D5" t="str">
        <x:v>O14</x:v>
      </x:c>
      <x:c r="E5" t="str">
        <x:v>A15</x:v>
      </x:c>
      <x:c r="F5" t="str">
        <x:v>A16</x:v>
      </x:c>
      <x:c r="G5" t="n">
        <x:v>4</x:v>
      </x:c>
      <x:c r="H5" s="10" t="n">
        <x:f>AVERAGE('Corrected_Wells'!H14,'Corrected_Wells'!H231,'Corrected_Wells'!H16,'Corrected_Wells'!H17)</x:f>
        <x:v>23.9725</x:v>
      </x:c>
      <x:c r="I5" s="10" t="n">
        <x:f>STDEV.S('Corrected_Wells'!H14,'Corrected_Wells'!H231,'Corrected_Wells'!H16,'Corrected_Wells'!H17)</x:f>
        <x:v>0.06551081335677857</x:v>
      </x:c>
      <x:c r="J5" s="10" t="n">
        <x:f>MAX('Corrected_Wells'!H14,'Corrected_Wells'!H231,'Corrected_Wells'!H16,'Corrected_Wells'!H17)-MIN('Corrected_Wells'!H14,'Corrected_Wells'!H231,'Corrected_Wells'!H16,'Corrected_Wells'!H17)</x:f>
        <x:v>0.14000000000000057</x:v>
      </x:c>
      <x:c r="K5" s="10" t="n">
        <x:f>AVERAGE('Corrected_Wells'!I14,'Corrected_Wells'!I231,'Corrected_Wells'!I16,'Corrected_Wells'!I17)</x:f>
        <x:v>83.64750000000001</x:v>
      </x:c>
      <x:c r="L5" s="10" t="n">
        <x:f>MAX('Corrected_Wells'!I14,'Corrected_Wells'!I231,'Corrected_Wells'!I16,'Corrected_Wells'!I17)-MIN('Corrected_Wells'!I14,'Corrected_Wells'!I231,'Corrected_Wells'!I16,'Corrected_Wells'!I17)</x:f>
        <x:v>0.1799999999999926</x:v>
      </x:c>
      <x:c r="M5" s="10" t="str">
        <x:v>1</x:v>
      </x:c>
      <x:c r="N5" s="10" t="n">
        <x:v>0.9775</x:v>
      </x:c>
      <x:c r="O5" t="str">
        <x:f>IF(G5&lt;'README_QC'!$B$16,"FAIL",IF(OR(I5&gt;'README_QC'!$B$14,L5&gt;'README_QC'!$B$15),"FAIL",IF(OR(I5&gt;'README_QC'!$B$13,P5&lt;&gt;""),"REVIEW","PASS")))</x:f>
        <x:v>REVIEW</x:v>
      </x:c>
      <x:c r="P5" s="15" t="str">
        <x:v>列14已重映射</x:v>
      </x:c>
    </x:row>
    <x:row r="6">
      <x:c r="A6" t="str">
        <x:v>Mock</x:v>
      </x:c>
      <x:c r="B6" t="str">
        <x:v>ZNF436-1</x:v>
      </x:c>
      <x:c r="C6" t="str">
        <x:v>A17</x:v>
      </x:c>
      <x:c r="D6" t="str">
        <x:v>A18</x:v>
      </x:c>
      <x:c r="E6" t="str">
        <x:v>A19</x:v>
      </x:c>
      <x:c r="F6" t="str">
        <x:v>A20</x:v>
      </x:c>
      <x:c r="G6" t="n">
        <x:v>4</x:v>
      </x:c>
      <x:c r="H6" s="10" t="n">
        <x:f>AVERAGE('Corrected_Wells'!H18,'Corrected_Wells'!H19,'Corrected_Wells'!H20,'Corrected_Wells'!H21)</x:f>
        <x:v>27.619999999999997</x:v>
      </x:c>
      <x:c r="I6" s="10" t="n">
        <x:f>STDEV.S('Corrected_Wells'!H18,'Corrected_Wells'!H19,'Corrected_Wells'!H20,'Corrected_Wells'!H21)</x:f>
        <x:v>0.09092121131323892</x:v>
      </x:c>
      <x:c r="J6" s="10" t="n">
        <x:f>MAX('Corrected_Wells'!H18,'Corrected_Wells'!H19,'Corrected_Wells'!H20,'Corrected_Wells'!H21)-MIN('Corrected_Wells'!H18,'Corrected_Wells'!H19,'Corrected_Wells'!H20,'Corrected_Wells'!H21)</x:f>
        <x:v>0.1999999999999993</x:v>
      </x:c>
      <x:c r="K6" s="10" t="n">
        <x:f>AVERAGE('Corrected_Wells'!I18,'Corrected_Wells'!I19,'Corrected_Wells'!I20,'Corrected_Wells'!I21)</x:f>
        <x:v>77.9</x:v>
      </x:c>
      <x:c r="L6" s="10" t="n">
        <x:f>MAX('Corrected_Wells'!I18,'Corrected_Wells'!I19,'Corrected_Wells'!I20,'Corrected_Wells'!I21)-MIN('Corrected_Wells'!I18,'Corrected_Wells'!I19,'Corrected_Wells'!I20,'Corrected_Wells'!I21)</x:f>
        <x:v>0.18000000000000682</x:v>
      </x:c>
      <x:c r="M6" s="10" t="str">
        <x:v>2</x:v>
      </x:c>
      <x:c r="N6" s="10" t="n">
        <x:v>0.98</x:v>
      </x:c>
      <x:c r="O6" t="str">
        <x:f>IF(G6&lt;'README_QC'!$B$16,"FAIL",IF(OR(I6&gt;'README_QC'!$B$14,L6&gt;'README_QC'!$B$15),"FAIL",IF(OR(I6&gt;'README_QC'!$B$13,P6&lt;&gt;""),"REVIEW","PASS")))</x:f>
        <x:v>PASS</x:v>
      </x:c>
      <x:c r="P6" s="15" t="str"/>
    </x:row>
    <x:row r="7">
      <x:c r="A7" t="str">
        <x:v>Mock</x:v>
      </x:c>
      <x:c r="B7" t="str">
        <x:v>ZNF436-2</x:v>
      </x:c>
      <x:c r="C7" t="str">
        <x:v>A21</x:v>
      </x:c>
      <x:c r="D7" t="str">
        <x:v>A22</x:v>
      </x:c>
      <x:c r="E7" t="str">
        <x:v>A23</x:v>
      </x:c>
      <x:c r="F7" t="str">
        <x:v>A24</x:v>
      </x:c>
      <x:c r="G7" t="n">
        <x:v>4</x:v>
      </x:c>
      <x:c r="H7" s="10" t="n">
        <x:f>AVERAGE('Corrected_Wells'!H22,'Corrected_Wells'!H23,'Corrected_Wells'!H24,'Corrected_Wells'!H25)</x:f>
        <x:v>26.2125</x:v>
      </x:c>
      <x:c r="I7" s="10" t="n">
        <x:f>STDEV.S('Corrected_Wells'!H22,'Corrected_Wells'!H23,'Corrected_Wells'!H24,'Corrected_Wells'!H25)</x:f>
        <x:v>0.7823202668984106</x:v>
      </x:c>
      <x:c r="J7" s="10" t="n">
        <x:f>MAX('Corrected_Wells'!H22,'Corrected_Wells'!H23,'Corrected_Wells'!H24,'Corrected_Wells'!H25)-MIN('Corrected_Wells'!H22,'Corrected_Wells'!H23,'Corrected_Wells'!H24,'Corrected_Wells'!H25)</x:f>
        <x:v>1.5</x:v>
      </x:c>
      <x:c r="K7" s="10" t="n">
        <x:f>AVERAGE('Corrected_Wells'!I22,'Corrected_Wells'!I23,'Corrected_Wells'!I24,'Corrected_Wells'!I25)</x:f>
        <x:v>73.3475</x:v>
      </x:c>
      <x:c r="L7" s="10" t="n">
        <x:f>MAX('Corrected_Wells'!I22,'Corrected_Wells'!I23,'Corrected_Wells'!I24,'Corrected_Wells'!I25)-MIN('Corrected_Wells'!I22,'Corrected_Wells'!I23,'Corrected_Wells'!I24,'Corrected_Wells'!I25)</x:f>
        <x:v>0.6000000000000085</x:v>
      </x:c>
      <x:c r="M7" s="10" t="str">
        <x:v>3</x:v>
      </x:c>
      <x:c r="N7" s="10" t="n">
        <x:v>0.9099999999999999</x:v>
      </x:c>
      <x:c r="O7" t="str">
        <x:f>IF(G7&lt;'README_QC'!$B$16,"FAIL",IF(OR(I7&gt;'README_QC'!$B$14,L7&gt;'README_QC'!$B$15),"FAIL",IF(OR(I7&gt;'README_QC'!$B$13,P7&lt;&gt;""),"REVIEW","PASS")))</x:f>
        <x:v>FAIL</x:v>
      </x:c>
      <x:c r="P7" s="15" t="str">
        <x:v>Cp复孔SD&gt;0.50；Tm复孔范围&gt;0.50°C</x:v>
      </x:c>
    </x:row>
    <x:row r="8">
      <x:c r="A8" t="str">
        <x:v>NC-FAM</x:v>
      </x:c>
      <x:c r="B8" t="str">
        <x:v>GAPDH</x:v>
      </x:c>
      <x:c r="C8" t="str">
        <x:v>C1</x:v>
      </x:c>
      <x:c r="D8" t="str">
        <x:v>C2</x:v>
      </x:c>
      <x:c r="E8" t="str">
        <x:v>C3</x:v>
      </x:c>
      <x:c r="F8" t="str">
        <x:v>C4</x:v>
      </x:c>
      <x:c r="G8" t="n">
        <x:v>4</x:v>
      </x:c>
      <x:c r="H8" s="10" t="n">
        <x:f>AVERAGE('Corrected_Wells'!H50,'Corrected_Wells'!H51,'Corrected_Wells'!H52,'Corrected_Wells'!H53)</x:f>
        <x:v>15.92</x:v>
      </x:c>
      <x:c r="I8" s="10" t="n">
        <x:f>STDEV.S('Corrected_Wells'!H50,'Corrected_Wells'!H51,'Corrected_Wells'!H52,'Corrected_Wells'!H53)</x:f>
        <x:v>0.008164965809277086</x:v>
      </x:c>
      <x:c r="J8" s="10" t="n">
        <x:f>MAX('Corrected_Wells'!H50,'Corrected_Wells'!H51,'Corrected_Wells'!H52,'Corrected_Wells'!H53)-MIN('Corrected_Wells'!H50,'Corrected_Wells'!H51,'Corrected_Wells'!H52,'Corrected_Wells'!H53)</x:f>
        <x:v>0.019999999999999574</x:v>
      </x:c>
      <x:c r="K8" s="10" t="n">
        <x:f>AVERAGE('Corrected_Wells'!I50,'Corrected_Wells'!I51,'Corrected_Wells'!I52,'Corrected_Wells'!I53)</x:f>
        <x:v>86.0075</x:v>
      </x:c>
      <x:c r="L8" s="10" t="n">
        <x:f>MAX('Corrected_Wells'!I50,'Corrected_Wells'!I51,'Corrected_Wells'!I52,'Corrected_Wells'!I53)-MIN('Corrected_Wells'!I50,'Corrected_Wells'!I51,'Corrected_Wells'!I52,'Corrected_Wells'!I53)</x:f>
        <x:v>0.03999999999999204</x:v>
      </x:c>
      <x:c r="M8" s="10" t="str">
        <x:v>1</x:v>
      </x:c>
      <x:c r="N8" s="10" t="n">
        <x:v>0.875</x:v>
      </x:c>
      <x:c r="O8" t="str">
        <x:f>IF(G8&lt;'README_QC'!$B$16,"FAIL",IF(OR(I8&gt;'README_QC'!$B$14,L8&gt;'README_QC'!$B$15),"FAIL",IF(OR(I8&gt;'README_QC'!$B$13,P8&lt;&gt;""),"REVIEW","PASS")))</x:f>
        <x:v>PASS</x:v>
      </x:c>
      <x:c r="P8" s="15" t="str"/>
    </x:row>
    <x:row r="9">
      <x:c r="A9" t="str">
        <x:v>NC-FAM</x:v>
      </x:c>
      <x:c r="B9" t="str">
        <x:v>TBP</x:v>
      </x:c>
      <x:c r="C9" t="str">
        <x:v>C5</x:v>
      </x:c>
      <x:c r="D9" t="str">
        <x:v>C6</x:v>
      </x:c>
      <x:c r="E9" t="str">
        <x:v>C7</x:v>
      </x:c>
      <x:c r="F9" t="str">
        <x:v>C8</x:v>
      </x:c>
      <x:c r="G9" t="n">
        <x:v>4</x:v>
      </x:c>
      <x:c r="H9" s="10" t="n">
        <x:f>AVERAGE('Corrected_Wells'!H54,'Corrected_Wells'!H55,'Corrected_Wells'!H56,'Corrected_Wells'!H57)</x:f>
        <x:v>24.799999999999997</x:v>
      </x:c>
      <x:c r="I9" s="10" t="n">
        <x:f>STDEV.S('Corrected_Wells'!H54,'Corrected_Wells'!H55,'Corrected_Wells'!H56,'Corrected_Wells'!H57)</x:f>
        <x:v>0.09055385138137288</x:v>
      </x:c>
      <x:c r="J9" s="10" t="n">
        <x:f>MAX('Corrected_Wells'!H54,'Corrected_Wells'!H55,'Corrected_Wells'!H56,'Corrected_Wells'!H57)-MIN('Corrected_Wells'!H54,'Corrected_Wells'!H55,'Corrected_Wells'!H56,'Corrected_Wells'!H57)</x:f>
        <x:v>0.2099999999999973</x:v>
      </x:c>
      <x:c r="K9" s="10" t="n">
        <x:f>AVERAGE('Corrected_Wells'!I54,'Corrected_Wells'!I55,'Corrected_Wells'!I56,'Corrected_Wells'!I57)</x:f>
        <x:v>80.31</x:v>
      </x:c>
      <x:c r="L9" s="10" t="n">
        <x:f>MAX('Corrected_Wells'!I54,'Corrected_Wells'!I55,'Corrected_Wells'!I56,'Corrected_Wells'!I57)-MIN('Corrected_Wells'!I54,'Corrected_Wells'!I55,'Corrected_Wells'!I56,'Corrected_Wells'!I57)</x:f>
        <x:v>0.0799999999999983</x:v>
      </x:c>
      <x:c r="M9" s="10" t="str">
        <x:v>1</x:v>
      </x:c>
      <x:c r="N9" s="10" t="n">
        <x:v>0.9774999999999999</x:v>
      </x:c>
      <x:c r="O9" t="str">
        <x:f>IF(G9&lt;'README_QC'!$B$16,"FAIL",IF(OR(I9&gt;'README_QC'!$B$14,L9&gt;'README_QC'!$B$15),"FAIL",IF(OR(I9&gt;'README_QC'!$B$13,P9&lt;&gt;""),"REVIEW","PASS")))</x:f>
        <x:v>PASS</x:v>
      </x:c>
      <x:c r="P9" s="15" t="str"/>
    </x:row>
    <x:row r="10">
      <x:c r="A10" t="str">
        <x:v>NC-FAM</x:v>
      </x:c>
      <x:c r="B10" t="str">
        <x:v>FBN2-1</x:v>
      </x:c>
      <x:c r="C10" t="str">
        <x:v>C9</x:v>
      </x:c>
      <x:c r="D10" t="str">
        <x:v>C10</x:v>
      </x:c>
      <x:c r="E10" t="str">
        <x:v>C11</x:v>
      </x:c>
      <x:c r="F10" t="str">
        <x:v>C12</x:v>
      </x:c>
      <x:c r="G10" t="n">
        <x:v>4</x:v>
      </x:c>
      <x:c r="H10" s="10" t="n">
        <x:f>AVERAGE('Corrected_Wells'!H58,'Corrected_Wells'!H59,'Corrected_Wells'!H60,'Corrected_Wells'!H61)</x:f>
        <x:v>23.505</x:v>
      </x:c>
      <x:c r="I10" s="10" t="n">
        <x:f>STDEV.S('Corrected_Wells'!H58,'Corrected_Wells'!H59,'Corrected_Wells'!H60,'Corrected_Wells'!H61)</x:f>
        <x:v>0.023804761428476654</x:v>
      </x:c>
      <x:c r="J10" s="10" t="n">
        <x:f>MAX('Corrected_Wells'!H58,'Corrected_Wells'!H59,'Corrected_Wells'!H60,'Corrected_Wells'!H61)-MIN('Corrected_Wells'!H58,'Corrected_Wells'!H59,'Corrected_Wells'!H60,'Corrected_Wells'!H61)</x:f>
        <x:v>0.05000000000000071</x:v>
      </x:c>
      <x:c r="K10" s="10" t="n">
        <x:f>AVERAGE('Corrected_Wells'!I58,'Corrected_Wells'!I59,'Corrected_Wells'!I60,'Corrected_Wells'!I61)</x:f>
        <x:v>79.3375</x:v>
      </x:c>
      <x:c r="L10" s="10" t="n">
        <x:f>MAX('Corrected_Wells'!I58,'Corrected_Wells'!I59,'Corrected_Wells'!I60,'Corrected_Wells'!I61)-MIN('Corrected_Wells'!I58,'Corrected_Wells'!I59,'Corrected_Wells'!I60,'Corrected_Wells'!I61)</x:f>
        <x:v>0.09000000000000341</x:v>
      </x:c>
      <x:c r="M10" s="10" t="str">
        <x:v>2</x:v>
      </x:c>
      <x:c r="N10" s="10" t="n">
        <x:v>0.9550000000000001</x:v>
      </x:c>
      <x:c r="O10" t="str">
        <x:f>IF(G10&lt;'README_QC'!$B$16,"FAIL",IF(OR(I10&gt;'README_QC'!$B$14,L10&gt;'README_QC'!$B$15),"FAIL",IF(OR(I10&gt;'README_QC'!$B$13,P10&lt;&gt;""),"REVIEW","PASS")))</x:f>
        <x:v>REVIEW</x:v>
      </x:c>
      <x:c r="P10" s="15" t="str">
        <x:v>列10人工备注</x:v>
      </x:c>
    </x:row>
    <x:row r="11">
      <x:c r="A11" t="str">
        <x:v>NC-FAM</x:v>
      </x:c>
      <x:c r="B11" t="str">
        <x:v>FBN2-2</x:v>
      </x:c>
      <x:c r="C11" t="str">
        <x:v>C13</x:v>
      </x:c>
      <x:c r="D11" t="str">
        <x:v>A14</x:v>
      </x:c>
      <x:c r="E11" t="str">
        <x:v>C15</x:v>
      </x:c>
      <x:c r="F11" t="str">
        <x:v>C16</x:v>
      </x:c>
      <x:c r="G11" t="n">
        <x:v>4</x:v>
      </x:c>
      <x:c r="H11" s="10" t="n">
        <x:f>AVERAGE('Corrected_Wells'!H62,'Corrected_Wells'!H15,'Corrected_Wells'!H64,'Corrected_Wells'!H65)</x:f>
        <x:v>23.562500000000004</x:v>
      </x:c>
      <x:c r="I11" s="10" t="n">
        <x:f>STDEV.S('Corrected_Wells'!H62,'Corrected_Wells'!H15,'Corrected_Wells'!H64,'Corrected_Wells'!H65)</x:f>
        <x:v>0.08261355820929134</x:v>
      </x:c>
      <x:c r="J11" s="10" t="n">
        <x:f>MAX('Corrected_Wells'!H62,'Corrected_Wells'!H15,'Corrected_Wells'!H64,'Corrected_Wells'!H65)-MIN('Corrected_Wells'!H62,'Corrected_Wells'!H15,'Corrected_Wells'!H64,'Corrected_Wells'!H65)</x:f>
        <x:v>0.17999999999999972</x:v>
      </x:c>
      <x:c r="K11" s="10" t="n">
        <x:f>AVERAGE('Corrected_Wells'!I62,'Corrected_Wells'!I15,'Corrected_Wells'!I64,'Corrected_Wells'!I65)</x:f>
        <x:v>83.7825</x:v>
      </x:c>
      <x:c r="L11" s="10" t="n">
        <x:f>MAX('Corrected_Wells'!I62,'Corrected_Wells'!I15,'Corrected_Wells'!I64,'Corrected_Wells'!I65)-MIN('Corrected_Wells'!I62,'Corrected_Wells'!I15,'Corrected_Wells'!I64,'Corrected_Wells'!I65)</x:f>
        <x:v>0.15000000000000568</x:v>
      </x:c>
      <x:c r="M11" s="10" t="str">
        <x:v>1</x:v>
      </x:c>
      <x:c r="N11" s="10" t="n">
        <x:v>0.9475</x:v>
      </x:c>
      <x:c r="O11" t="str">
        <x:f>IF(G11&lt;'README_QC'!$B$16,"FAIL",IF(OR(I11&gt;'README_QC'!$B$14,L11&gt;'README_QC'!$B$15),"FAIL",IF(OR(I11&gt;'README_QC'!$B$13,P11&lt;&gt;""),"REVIEW","PASS")))</x:f>
        <x:v>REVIEW</x:v>
      </x:c>
      <x:c r="P11" s="15" t="str">
        <x:v>列14已重映射</x:v>
      </x:c>
    </x:row>
    <x:row r="12">
      <x:c r="A12" t="str">
        <x:v>NC-FAM</x:v>
      </x:c>
      <x:c r="B12" t="str">
        <x:v>ZNF436-1</x:v>
      </x:c>
      <x:c r="C12" t="str">
        <x:v>C17</x:v>
      </x:c>
      <x:c r="D12" t="str">
        <x:v>C18</x:v>
      </x:c>
      <x:c r="E12" t="str">
        <x:v>C19</x:v>
      </x:c>
      <x:c r="F12" t="str">
        <x:v>C20</x:v>
      </x:c>
      <x:c r="G12" t="n">
        <x:v>4</x:v>
      </x:c>
      <x:c r="H12" s="10" t="n">
        <x:f>AVERAGE('Corrected_Wells'!H66,'Corrected_Wells'!H67,'Corrected_Wells'!H68,'Corrected_Wells'!H69)</x:f>
        <x:v>27.169999999999998</x:v>
      </x:c>
      <x:c r="I12" s="10" t="n">
        <x:f>STDEV.S('Corrected_Wells'!H66,'Corrected_Wells'!H67,'Corrected_Wells'!H68,'Corrected_Wells'!H69)</x:f>
        <x:v>0.1572683481611389</x:v>
      </x:c>
      <x:c r="J12" s="10" t="n">
        <x:f>MAX('Corrected_Wells'!H66,'Corrected_Wells'!H67,'Corrected_Wells'!H68,'Corrected_Wells'!H69)-MIN('Corrected_Wells'!H66,'Corrected_Wells'!H67,'Corrected_Wells'!H68,'Corrected_Wells'!H69)</x:f>
        <x:v>0.29999999999999716</x:v>
      </x:c>
      <x:c r="K12" s="10" t="n">
        <x:f>AVERAGE('Corrected_Wells'!I66,'Corrected_Wells'!I67,'Corrected_Wells'!I68,'Corrected_Wells'!I69)</x:f>
        <x:v>77.9325</x:v>
      </x:c>
      <x:c r="L12" s="10" t="n">
        <x:f>MAX('Corrected_Wells'!I66,'Corrected_Wells'!I67,'Corrected_Wells'!I68,'Corrected_Wells'!I69)-MIN('Corrected_Wells'!I66,'Corrected_Wells'!I67,'Corrected_Wells'!I68,'Corrected_Wells'!I69)</x:f>
        <x:v>0.15000000000000568</x:v>
      </x:c>
      <x:c r="M12" s="10" t="str">
        <x:v>2</x:v>
      </x:c>
      <x:c r="N12" s="10" t="n">
        <x:v>0.9825</x:v>
      </x:c>
      <x:c r="O12" t="str">
        <x:f>IF(G12&lt;'README_QC'!$B$16,"FAIL",IF(OR(I12&gt;'README_QC'!$B$14,L12&gt;'README_QC'!$B$15),"FAIL",IF(OR(I12&gt;'README_QC'!$B$13,P12&lt;&gt;""),"REVIEW","PASS")))</x:f>
        <x:v>PASS</x:v>
      </x:c>
      <x:c r="P12" s="15" t="str"/>
    </x:row>
    <x:row r="13">
      <x:c r="A13" t="str">
        <x:v>NC-FAM</x:v>
      </x:c>
      <x:c r="B13" t="str">
        <x:v>ZNF436-2</x:v>
      </x:c>
      <x:c r="C13" t="str">
        <x:v>C21</x:v>
      </x:c>
      <x:c r="D13" t="str">
        <x:v>C22</x:v>
      </x:c>
      <x:c r="E13" t="str">
        <x:v>C23</x:v>
      </x:c>
      <x:c r="F13" t="str">
        <x:v>C24</x:v>
      </x:c>
      <x:c r="G13" t="n">
        <x:v>4</x:v>
      </x:c>
      <x:c r="H13" s="10" t="n">
        <x:f>AVERAGE('Corrected_Wells'!H70,'Corrected_Wells'!H71,'Corrected_Wells'!H72,'Corrected_Wells'!H73)</x:f>
        <x:v>26.78</x:v>
      </x:c>
      <x:c r="I13" s="10" t="n">
        <x:f>STDEV.S('Corrected_Wells'!H70,'Corrected_Wells'!H71,'Corrected_Wells'!H72,'Corrected_Wells'!H73)</x:f>
        <x:v>0.049665548085837695</x:v>
      </x:c>
      <x:c r="J13" s="10" t="n">
        <x:f>MAX('Corrected_Wells'!H70,'Corrected_Wells'!H71,'Corrected_Wells'!H72,'Corrected_Wells'!H73)-MIN('Corrected_Wells'!H70,'Corrected_Wells'!H71,'Corrected_Wells'!H72,'Corrected_Wells'!H73)</x:f>
        <x:v>0.10999999999999943</x:v>
      </x:c>
      <x:c r="K13" s="10" t="n">
        <x:f>AVERAGE('Corrected_Wells'!I70,'Corrected_Wells'!I71,'Corrected_Wells'!I72,'Corrected_Wells'!I73)</x:f>
        <x:v>73.87750000000001</x:v>
      </x:c>
      <x:c r="L13" s="10" t="n">
        <x:f>MAX('Corrected_Wells'!I70,'Corrected_Wells'!I71,'Corrected_Wells'!I72,'Corrected_Wells'!I73)-MIN('Corrected_Wells'!I70,'Corrected_Wells'!I71,'Corrected_Wells'!I72,'Corrected_Wells'!I73)</x:f>
        <x:v>0.7099999999999937</x:v>
      </x:c>
      <x:c r="M13" s="10" t="str">
        <x:v>3;Unknown</x:v>
      </x:c>
      <x:c r="N13" s="10" t="n">
        <x:v>0.7375</x:v>
      </x:c>
      <x:c r="O13" t="str">
        <x:f>IF(G13&lt;'README_QC'!$B$16,"FAIL",IF(OR(I13&gt;'README_QC'!$B$14,L13&gt;'README_QC'!$B$15),"FAIL",IF(OR(I13&gt;'README_QC'!$B$13,P13&lt;&gt;""),"REVIEW","PASS")))</x:f>
        <x:v>FAIL</x:v>
      </x:c>
      <x:c r="P13" s="15" t="str">
        <x:v>Tm复孔范围&gt;0.50°C；熔解聚类不一致</x:v>
      </x:c>
    </x:row>
    <x:row r="14">
      <x:c r="A14" t="str">
        <x:v>siZNF436-3</x:v>
      </x:c>
      <x:c r="B14" t="str">
        <x:v>GAPDH</x:v>
      </x:c>
      <x:c r="C14" t="str">
        <x:v>B1</x:v>
      </x:c>
      <x:c r="D14" t="str">
        <x:v>B2</x:v>
      </x:c>
      <x:c r="E14" t="str">
        <x:v>B3</x:v>
      </x:c>
      <x:c r="F14" t="str">
        <x:v>B4</x:v>
      </x:c>
      <x:c r="G14" t="n">
        <x:v>4</x:v>
      </x:c>
      <x:c r="H14" s="10" t="n">
        <x:f>AVERAGE('Corrected_Wells'!H26,'Corrected_Wells'!H27,'Corrected_Wells'!H28,'Corrected_Wells'!H29)</x:f>
        <x:v>16.395</x:v>
      </x:c>
      <x:c r="I14" s="10" t="n">
        <x:f>STDEV.S('Corrected_Wells'!H26,'Corrected_Wells'!H27,'Corrected_Wells'!H28,'Corrected_Wells'!H29)</x:f>
        <x:v>0.11445523142259591</x:v>
      </x:c>
      <x:c r="J14" s="10" t="n">
        <x:f>MAX('Corrected_Wells'!H26,'Corrected_Wells'!H27,'Corrected_Wells'!H28,'Corrected_Wells'!H29)-MIN('Corrected_Wells'!H26,'Corrected_Wells'!H27,'Corrected_Wells'!H28,'Corrected_Wells'!H29)</x:f>
        <x:v>0.2699999999999996</x:v>
      </x:c>
      <x:c r="K14" s="10" t="n">
        <x:f>AVERAGE('Corrected_Wells'!I26,'Corrected_Wells'!I27,'Corrected_Wells'!I28,'Corrected_Wells'!I29)</x:f>
        <x:v>85.9425</x:v>
      </x:c>
      <x:c r="L14" s="10" t="n">
        <x:f>MAX('Corrected_Wells'!I26,'Corrected_Wells'!I27,'Corrected_Wells'!I28,'Corrected_Wells'!I29)-MIN('Corrected_Wells'!I26,'Corrected_Wells'!I27,'Corrected_Wells'!I28,'Corrected_Wells'!I29)</x:f>
        <x:v>0.04999999999999716</x:v>
      </x:c>
      <x:c r="M14" s="10" t="str">
        <x:v>1</x:v>
      </x:c>
      <x:c r="N14" s="10" t="n">
        <x:v>0.87</x:v>
      </x:c>
      <x:c r="O14" t="str">
        <x:f>IF(G14&lt;'README_QC'!$B$16,"FAIL",IF(OR(I14&gt;'README_QC'!$B$14,L14&gt;'README_QC'!$B$15),"FAIL",IF(OR(I14&gt;'README_QC'!$B$13,P14&lt;&gt;""),"REVIEW","PASS")))</x:f>
        <x:v>PASS</x:v>
      </x:c>
      <x:c r="P14" s="15" t="str"/>
    </x:row>
    <x:row r="15">
      <x:c r="A15" t="str">
        <x:v>siZNF436-3</x:v>
      </x:c>
      <x:c r="B15" t="str">
        <x:v>TBP</x:v>
      </x:c>
      <x:c r="C15" t="str">
        <x:v>B5</x:v>
      </x:c>
      <x:c r="D15" t="str">
        <x:v>B6</x:v>
      </x:c>
      <x:c r="E15" t="str">
        <x:v>B7</x:v>
      </x:c>
      <x:c r="F15" t="str">
        <x:v>B8</x:v>
      </x:c>
      <x:c r="G15" t="n">
        <x:v>4</x:v>
      </x:c>
      <x:c r="H15" s="10" t="n">
        <x:f>AVERAGE('Corrected_Wells'!H30,'Corrected_Wells'!H31,'Corrected_Wells'!H32,'Corrected_Wells'!H33)</x:f>
        <x:v>25.115</x:v>
      </x:c>
      <x:c r="I15" s="10" t="n">
        <x:f>STDEV.S('Corrected_Wells'!H30,'Corrected_Wells'!H31,'Corrected_Wells'!H32,'Corrected_Wells'!H33)</x:f>
        <x:v>0.11676186592091385</x:v>
      </x:c>
      <x:c r="J15" s="10" t="n">
        <x:f>MAX('Corrected_Wells'!H30,'Corrected_Wells'!H31,'Corrected_Wells'!H32,'Corrected_Wells'!H33)-MIN('Corrected_Wells'!H30,'Corrected_Wells'!H31,'Corrected_Wells'!H32,'Corrected_Wells'!H33)</x:f>
        <x:v>0.28000000000000114</x:v>
      </x:c>
      <x:c r="K15" s="10" t="n">
        <x:f>AVERAGE('Corrected_Wells'!I30,'Corrected_Wells'!I31,'Corrected_Wells'!I32,'Corrected_Wells'!I33)</x:f>
        <x:v>80.22</x:v>
      </x:c>
      <x:c r="L15" s="10" t="n">
        <x:f>MAX('Corrected_Wells'!I30,'Corrected_Wells'!I31,'Corrected_Wells'!I32,'Corrected_Wells'!I33)-MIN('Corrected_Wells'!I30,'Corrected_Wells'!I31,'Corrected_Wells'!I32,'Corrected_Wells'!I33)</x:f>
        <x:v>0.04999999999999716</x:v>
      </x:c>
      <x:c r="M15" s="10" t="str">
        <x:v>1</x:v>
      </x:c>
      <x:c r="N15" s="10" t="n">
        <x:v>0.9824999999999999</x:v>
      </x:c>
      <x:c r="O15" t="str">
        <x:f>IF(G15&lt;'README_QC'!$B$16,"FAIL",IF(OR(I15&gt;'README_QC'!$B$14,L15&gt;'README_QC'!$B$15),"FAIL",IF(OR(I15&gt;'README_QC'!$B$13,P15&lt;&gt;""),"REVIEW","PASS")))</x:f>
        <x:v>PASS</x:v>
      </x:c>
      <x:c r="P15" s="15" t="str"/>
    </x:row>
    <x:row r="16">
      <x:c r="A16" t="str">
        <x:v>siZNF436-3</x:v>
      </x:c>
      <x:c r="B16" t="str">
        <x:v>FBN2-1</x:v>
      </x:c>
      <x:c r="C16" t="str">
        <x:v>B9</x:v>
      </x:c>
      <x:c r="D16" t="str">
        <x:v>B10</x:v>
      </x:c>
      <x:c r="E16" t="str">
        <x:v>B11</x:v>
      </x:c>
      <x:c r="F16" t="str">
        <x:v>B12</x:v>
      </x:c>
      <x:c r="G16" t="n">
        <x:v>4</x:v>
      </x:c>
      <x:c r="H16" s="10" t="n">
        <x:f>AVERAGE('Corrected_Wells'!H34,'Corrected_Wells'!H35,'Corrected_Wells'!H36,'Corrected_Wells'!H37)</x:f>
        <x:v>23.21</x:v>
      </x:c>
      <x:c r="I16" s="10" t="n">
        <x:f>STDEV.S('Corrected_Wells'!H34,'Corrected_Wells'!H35,'Corrected_Wells'!H36,'Corrected_Wells'!H37)</x:f>
        <x:v>0.669477408132642</x:v>
      </x:c>
      <x:c r="J16" s="10" t="n">
        <x:f>MAX('Corrected_Wells'!H34,'Corrected_Wells'!H35,'Corrected_Wells'!H36,'Corrected_Wells'!H37)-MIN('Corrected_Wells'!H34,'Corrected_Wells'!H35,'Corrected_Wells'!H36,'Corrected_Wells'!H37)</x:f>
        <x:v>1.259999999999998</x:v>
      </x:c>
      <x:c r="K16" s="10" t="n">
        <x:f>AVERAGE('Corrected_Wells'!I34,'Corrected_Wells'!I35,'Corrected_Wells'!I36,'Corrected_Wells'!I37)</x:f>
        <x:v>79.2975</x:v>
      </x:c>
      <x:c r="L16" s="10" t="n">
        <x:f>MAX('Corrected_Wells'!I34,'Corrected_Wells'!I35,'Corrected_Wells'!I36,'Corrected_Wells'!I37)-MIN('Corrected_Wells'!I34,'Corrected_Wells'!I35,'Corrected_Wells'!I36,'Corrected_Wells'!I37)</x:f>
        <x:v>0.10000000000000853</x:v>
      </x:c>
      <x:c r="M16" s="10" t="str">
        <x:v>2</x:v>
      </x:c>
      <x:c r="N16" s="10" t="n">
        <x:v>0.9575</x:v>
      </x:c>
      <x:c r="O16" t="str">
        <x:f>IF(G16&lt;'README_QC'!$B$16,"FAIL",IF(OR(I16&gt;'README_QC'!$B$14,L16&gt;'README_QC'!$B$15),"FAIL",IF(OR(I16&gt;'README_QC'!$B$13,P16&lt;&gt;""),"REVIEW","PASS")))</x:f>
        <x:v>FAIL</x:v>
      </x:c>
      <x:c r="P16" s="15" t="str">
        <x:v>Cp复孔SD&gt;0.50；列10人工备注</x:v>
      </x:c>
    </x:row>
    <x:row r="17">
      <x:c r="A17" t="str">
        <x:v>siZNF436-3</x:v>
      </x:c>
      <x:c r="B17" t="str">
        <x:v>FBN2-2</x:v>
      </x:c>
      <x:c r="C17" t="str">
        <x:v>B13</x:v>
      </x:c>
      <x:c r="D17" t="str">
        <x:v>B14</x:v>
      </x:c>
      <x:c r="E17" t="str">
        <x:v>B15</x:v>
      </x:c>
      <x:c r="F17" t="str">
        <x:v>B16</x:v>
      </x:c>
      <x:c r="G17" t="n">
        <x:v>4</x:v>
      </x:c>
      <x:c r="H17" s="10" t="n">
        <x:f>AVERAGE('Corrected_Wells'!H38,'Corrected_Wells'!H39,'Corrected_Wells'!H40,'Corrected_Wells'!H41)</x:f>
        <x:v>23.822499999999998</x:v>
      </x:c>
      <x:c r="I17" s="10" t="n">
        <x:f>STDEV.S('Corrected_Wells'!H38,'Corrected_Wells'!H39,'Corrected_Wells'!H40,'Corrected_Wells'!H41)</x:f>
        <x:v>0.027537852736431483</x:v>
      </x:c>
      <x:c r="J17" s="10" t="n">
        <x:f>MAX('Corrected_Wells'!H38,'Corrected_Wells'!H39,'Corrected_Wells'!H40,'Corrected_Wells'!H41)-MIN('Corrected_Wells'!H38,'Corrected_Wells'!H39,'Corrected_Wells'!H40,'Corrected_Wells'!H41)</x:f>
        <x:v>0.060000000000002274</x:v>
      </x:c>
      <x:c r="K17" s="10" t="n">
        <x:f>AVERAGE('Corrected_Wells'!I38,'Corrected_Wells'!I39,'Corrected_Wells'!I40,'Corrected_Wells'!I41)</x:f>
        <x:v>83.595</x:v>
      </x:c>
      <x:c r="L17" s="10" t="n">
        <x:f>MAX('Corrected_Wells'!I38,'Corrected_Wells'!I39,'Corrected_Wells'!I40,'Corrected_Wells'!I41)-MIN('Corrected_Wells'!I38,'Corrected_Wells'!I39,'Corrected_Wells'!I40,'Corrected_Wells'!I41)</x:f>
        <x:v>0.0899999999999892</x:v>
      </x:c>
      <x:c r="M17" s="10" t="str">
        <x:v>1</x:v>
      </x:c>
      <x:c r="N17" s="10" t="n">
        <x:v>0.9875</x:v>
      </x:c>
      <x:c r="O17" t="str">
        <x:f>IF(G17&lt;'README_QC'!$B$16,"FAIL",IF(OR(I17&gt;'README_QC'!$B$14,L17&gt;'README_QC'!$B$15),"FAIL",IF(OR(I17&gt;'README_QC'!$B$13,P17&lt;&gt;""),"REVIEW","PASS")))</x:f>
        <x:v>REVIEW</x:v>
      </x:c>
      <x:c r="P17" s="15" t="str">
        <x:v>列14已重映射</x:v>
      </x:c>
    </x:row>
    <x:row r="18">
      <x:c r="A18" t="str">
        <x:v>siZNF436-3</x:v>
      </x:c>
      <x:c r="B18" t="str">
        <x:v>ZNF436-1</x:v>
      </x:c>
      <x:c r="C18" t="str">
        <x:v>B17</x:v>
      </x:c>
      <x:c r="D18" t="str">
        <x:v>B18</x:v>
      </x:c>
      <x:c r="E18" t="str">
        <x:v>B19</x:v>
      </x:c>
      <x:c r="F18" t="str">
        <x:v>B20</x:v>
      </x:c>
      <x:c r="G18" t="n">
        <x:v>4</x:v>
      </x:c>
      <x:c r="H18" s="10" t="n">
        <x:f>AVERAGE('Corrected_Wells'!H42,'Corrected_Wells'!H43,'Corrected_Wells'!H44,'Corrected_Wells'!H45)</x:f>
        <x:v>29.455000000000002</x:v>
      </x:c>
      <x:c r="I18" s="10" t="n">
        <x:f>STDEV.S('Corrected_Wells'!H42,'Corrected_Wells'!H43,'Corrected_Wells'!H44,'Corrected_Wells'!H45)</x:f>
        <x:v>0.2245736701693525</x:v>
      </x:c>
      <x:c r="J18" s="10" t="n">
        <x:f>MAX('Corrected_Wells'!H42,'Corrected_Wells'!H43,'Corrected_Wells'!H44,'Corrected_Wells'!H45)-MIN('Corrected_Wells'!H42,'Corrected_Wells'!H43,'Corrected_Wells'!H44,'Corrected_Wells'!H45)</x:f>
        <x:v>0.46999999999999886</x:v>
      </x:c>
      <x:c r="K18" s="10" t="n">
        <x:f>AVERAGE('Corrected_Wells'!I42,'Corrected_Wells'!I43,'Corrected_Wells'!I44,'Corrected_Wells'!I45)</x:f>
        <x:v>77.02250000000001</x:v>
      </x:c>
      <x:c r="L18" s="10" t="n">
        <x:f>MAX('Corrected_Wells'!I42,'Corrected_Wells'!I43,'Corrected_Wells'!I44,'Corrected_Wells'!I45)-MIN('Corrected_Wells'!I42,'Corrected_Wells'!I43,'Corrected_Wells'!I44,'Corrected_Wells'!I45)</x:f>
        <x:v>0.269999999999996</x:v>
      </x:c>
      <x:c r="M18" s="10" t="str">
        <x:v>3</x:v>
      </x:c>
      <x:c r="N18" s="10" t="n">
        <x:v>0.855</x:v>
      </x:c>
      <x:c r="O18" t="str">
        <x:f>IF(G18&lt;'README_QC'!$B$16,"FAIL",IF(OR(I18&gt;'README_QC'!$B$14,L18&gt;'README_QC'!$B$15),"FAIL",IF(OR(I18&gt;'README_QC'!$B$13,P18&lt;&gt;""),"REVIEW","PASS")))</x:f>
        <x:v>PASS</x:v>
      </x:c>
      <x:c r="P18" s="15" t="str"/>
    </x:row>
    <x:row r="19">
      <x:c r="A19" t="str">
        <x:v>siZNF436-3</x:v>
      </x:c>
      <x:c r="B19" t="str">
        <x:v>ZNF436-2</x:v>
      </x:c>
      <x:c r="C19" t="str">
        <x:v>B21</x:v>
      </x:c>
      <x:c r="D19" t="str">
        <x:v>B22</x:v>
      </x:c>
      <x:c r="E19" t="str">
        <x:v>B23</x:v>
      </x:c>
      <x:c r="F19" t="str">
        <x:v>B24</x:v>
      </x:c>
      <x:c r="G19" t="n">
        <x:v>4</x:v>
      </x:c>
      <x:c r="H19" s="10" t="n">
        <x:f>AVERAGE('Corrected_Wells'!H46,'Corrected_Wells'!H47,'Corrected_Wells'!H48,'Corrected_Wells'!H49)</x:f>
        <x:v>25.7825</x:v>
      </x:c>
      <x:c r="I19" s="10" t="n">
        <x:f>STDEV.S('Corrected_Wells'!H46,'Corrected_Wells'!H47,'Corrected_Wells'!H48,'Corrected_Wells'!H49)</x:f>
        <x:v>0.06849574196011479</x:v>
      </x:c>
      <x:c r="J19" s="10" t="n">
        <x:f>MAX('Corrected_Wells'!H46,'Corrected_Wells'!H47,'Corrected_Wells'!H48,'Corrected_Wells'!H49)-MIN('Corrected_Wells'!H46,'Corrected_Wells'!H47,'Corrected_Wells'!H48,'Corrected_Wells'!H49)</x:f>
        <x:v>0.14999999999999858</x:v>
      </x:c>
      <x:c r="K19" s="10" t="n">
        <x:f>AVERAGE('Corrected_Wells'!I46,'Corrected_Wells'!I47,'Corrected_Wells'!I48,'Corrected_Wells'!I49)</x:f>
        <x:v>73.1525</x:v>
      </x:c>
      <x:c r="L19" s="10" t="n">
        <x:f>MAX('Corrected_Wells'!I46,'Corrected_Wells'!I47,'Corrected_Wells'!I48,'Corrected_Wells'!I49)-MIN('Corrected_Wells'!I46,'Corrected_Wells'!I47,'Corrected_Wells'!I48,'Corrected_Wells'!I49)</x:f>
        <x:v>0.060000000000002274</x:v>
      </x:c>
      <x:c r="M19" s="10" t="str">
        <x:v>3</x:v>
      </x:c>
      <x:c r="N19" s="10" t="n">
        <x:v>0.99</x:v>
      </x:c>
      <x:c r="O19" t="str">
        <x:f>IF(G19&lt;'README_QC'!$B$16,"FAIL",IF(OR(I19&gt;'README_QC'!$B$14,L19&gt;'README_QC'!$B$15),"FAIL",IF(OR(I19&gt;'README_QC'!$B$13,P19&lt;&gt;""),"REVIEW","PASS")))</x:f>
        <x:v>PASS</x:v>
      </x:c>
      <x:c r="P19" s="15" t="str"/>
    </x:row>
    <x:row r="20">
      <x:c r="A20" t="str">
        <x:v>siFBN2-1</x:v>
      </x:c>
      <x:c r="B20" t="str">
        <x:v>GAPDH</x:v>
      </x:c>
      <x:c r="C20" t="str">
        <x:v>E1</x:v>
      </x:c>
      <x:c r="D20" t="str">
        <x:v>E2</x:v>
      </x:c>
      <x:c r="E20" t="str">
        <x:v>E3</x:v>
      </x:c>
      <x:c r="F20" t="str">
        <x:v>E4</x:v>
      </x:c>
      <x:c r="G20" t="n">
        <x:v>4</x:v>
      </x:c>
      <x:c r="H20" s="10" t="n">
        <x:f>AVERAGE('Corrected_Wells'!H98,'Corrected_Wells'!H99,'Corrected_Wells'!H100,'Corrected_Wells'!H101)</x:f>
        <x:v>16.095</x:v>
      </x:c>
      <x:c r="I20" s="10" t="n">
        <x:f>STDEV.S('Corrected_Wells'!H98,'Corrected_Wells'!H99,'Corrected_Wells'!H100,'Corrected_Wells'!H101)</x:f>
        <x:v>0.010000000000001563</x:v>
      </x:c>
      <x:c r="J20" s="10" t="n">
        <x:f>MAX('Corrected_Wells'!H98,'Corrected_Wells'!H99,'Corrected_Wells'!H100,'Corrected_Wells'!H101)-MIN('Corrected_Wells'!H98,'Corrected_Wells'!H99,'Corrected_Wells'!H100,'Corrected_Wells'!H101)</x:f>
        <x:v>0.020000000000003126</x:v>
      </x:c>
      <x:c r="K20" s="10" t="n">
        <x:f>AVERAGE('Corrected_Wells'!I98,'Corrected_Wells'!I99,'Corrected_Wells'!I100,'Corrected_Wells'!I101)</x:f>
        <x:v>85.99000000000001</x:v>
      </x:c>
      <x:c r="L20" s="10" t="n">
        <x:f>MAX('Corrected_Wells'!I98,'Corrected_Wells'!I99,'Corrected_Wells'!I100,'Corrected_Wells'!I101)-MIN('Corrected_Wells'!I98,'Corrected_Wells'!I99,'Corrected_Wells'!I100,'Corrected_Wells'!I101)</x:f>
        <x:v>0.04999999999999716</x:v>
      </x:c>
      <x:c r="M20" s="10" t="str">
        <x:v>1</x:v>
      </x:c>
      <x:c r="N20" s="10" t="n">
        <x:v>0.8724999999999999</x:v>
      </x:c>
      <x:c r="O20" t="str">
        <x:f>IF(G20&lt;'README_QC'!$B$16,"FAIL",IF(OR(I20&gt;'README_QC'!$B$14,L20&gt;'README_QC'!$B$15),"FAIL",IF(OR(I20&gt;'README_QC'!$B$13,P20&lt;&gt;""),"REVIEW","PASS")))</x:f>
        <x:v>PASS</x:v>
      </x:c>
      <x:c r="P20" s="15" t="str"/>
    </x:row>
    <x:row r="21">
      <x:c r="A21" t="str">
        <x:v>siFBN2-1</x:v>
      </x:c>
      <x:c r="B21" t="str">
        <x:v>TBP</x:v>
      </x:c>
      <x:c r="C21" t="str">
        <x:v>E5</x:v>
      </x:c>
      <x:c r="D21" t="str">
        <x:v>E6</x:v>
      </x:c>
      <x:c r="E21" t="str">
        <x:v>E7</x:v>
      </x:c>
      <x:c r="F21" t="str">
        <x:v>E8</x:v>
      </x:c>
      <x:c r="G21" t="n">
        <x:v>4</x:v>
      </x:c>
      <x:c r="H21" s="10" t="n">
        <x:f>AVERAGE('Corrected_Wells'!H102,'Corrected_Wells'!H103,'Corrected_Wells'!H104,'Corrected_Wells'!H105)</x:f>
        <x:v>25.0075</x:v>
      </x:c>
      <x:c r="I21" s="10" t="n">
        <x:f>STDEV.S('Corrected_Wells'!H102,'Corrected_Wells'!H103,'Corrected_Wells'!H104,'Corrected_Wells'!H105)</x:f>
        <x:v>0.09945685831890416</x:v>
      </x:c>
      <x:c r="J21" s="10" t="n">
        <x:f>MAX('Corrected_Wells'!H102,'Corrected_Wells'!H103,'Corrected_Wells'!H104,'Corrected_Wells'!H105)-MIN('Corrected_Wells'!H102,'Corrected_Wells'!H103,'Corrected_Wells'!H104,'Corrected_Wells'!H105)</x:f>
        <x:v>0.21999999999999886</x:v>
      </x:c>
      <x:c r="K21" s="10" t="n">
        <x:f>AVERAGE('Corrected_Wells'!I102,'Corrected_Wells'!I103,'Corrected_Wells'!I104,'Corrected_Wells'!I105)</x:f>
        <x:v>80.275</x:v>
      </x:c>
      <x:c r="L21" s="10" t="n">
        <x:f>MAX('Corrected_Wells'!I102,'Corrected_Wells'!I103,'Corrected_Wells'!I104,'Corrected_Wells'!I105)-MIN('Corrected_Wells'!I102,'Corrected_Wells'!I103,'Corrected_Wells'!I104,'Corrected_Wells'!I105)</x:f>
        <x:v>0.04000000000000625</x:v>
      </x:c>
      <x:c r="M21" s="10" t="str">
        <x:v>1</x:v>
      </x:c>
      <x:c r="N21" s="10" t="n">
        <x:v>0.98</x:v>
      </x:c>
      <x:c r="O21" t="str">
        <x:f>IF(G21&lt;'README_QC'!$B$16,"FAIL",IF(OR(I21&gt;'README_QC'!$B$14,L21&gt;'README_QC'!$B$15),"FAIL",IF(OR(I21&gt;'README_QC'!$B$13,P21&lt;&gt;""),"REVIEW","PASS")))</x:f>
        <x:v>PASS</x:v>
      </x:c>
      <x:c r="P21" s="15" t="str"/>
    </x:row>
    <x:row r="22">
      <x:c r="A22" t="str">
        <x:v>siFBN2-1</x:v>
      </x:c>
      <x:c r="B22" t="str">
        <x:v>FBN2-1</x:v>
      </x:c>
      <x:c r="C22" t="str">
        <x:v>E9</x:v>
      </x:c>
      <x:c r="D22" t="str">
        <x:v>E10</x:v>
      </x:c>
      <x:c r="E22" t="str">
        <x:v>E11</x:v>
      </x:c>
      <x:c r="F22" t="str">
        <x:v>E12</x:v>
      </x:c>
      <x:c r="G22" t="n">
        <x:v>4</x:v>
      </x:c>
      <x:c r="H22" s="10" t="n">
        <x:f>AVERAGE('Corrected_Wells'!H106,'Corrected_Wells'!H107,'Corrected_Wells'!H108,'Corrected_Wells'!H109)</x:f>
        <x:v>23.65</x:v>
      </x:c>
      <x:c r="I22" s="10" t="n">
        <x:f>STDEV.S('Corrected_Wells'!H106,'Corrected_Wells'!H107,'Corrected_Wells'!H108,'Corrected_Wells'!H109)</x:f>
        <x:v>0.0483045891539645</x:v>
      </x:c>
      <x:c r="J22" s="10" t="n">
        <x:f>MAX('Corrected_Wells'!H106,'Corrected_Wells'!H107,'Corrected_Wells'!H108,'Corrected_Wells'!H109)-MIN('Corrected_Wells'!H106,'Corrected_Wells'!H107,'Corrected_Wells'!H108,'Corrected_Wells'!H109)</x:f>
        <x:v>0.10999999999999943</x:v>
      </x:c>
      <x:c r="K22" s="10" t="n">
        <x:f>AVERAGE('Corrected_Wells'!I106,'Corrected_Wells'!I107,'Corrected_Wells'!I108,'Corrected_Wells'!I109)</x:f>
        <x:v>79.3175</x:v>
      </x:c>
      <x:c r="L22" s="10" t="n">
        <x:f>MAX('Corrected_Wells'!I106,'Corrected_Wells'!I107,'Corrected_Wells'!I108,'Corrected_Wells'!I109)-MIN('Corrected_Wells'!I106,'Corrected_Wells'!I107,'Corrected_Wells'!I108,'Corrected_Wells'!I109)</x:f>
        <x:v>0.09999999999999432</x:v>
      </x:c>
      <x:c r="M22" s="10" t="str">
        <x:v>2</x:v>
      </x:c>
      <x:c r="N22" s="10" t="n">
        <x:v>0.965</x:v>
      </x:c>
      <x:c r="O22" t="str">
        <x:f>IF(G22&lt;'README_QC'!$B$16,"FAIL",IF(OR(I22&gt;'README_QC'!$B$14,L22&gt;'README_QC'!$B$15),"FAIL",IF(OR(I22&gt;'README_QC'!$B$13,P22&lt;&gt;""),"REVIEW","PASS")))</x:f>
        <x:v>REVIEW</x:v>
      </x:c>
      <x:c r="P22" s="15" t="str">
        <x:v>列10人工备注</x:v>
      </x:c>
    </x:row>
    <x:row r="23">
      <x:c r="A23" t="str">
        <x:v>siFBN2-1</x:v>
      </x:c>
      <x:c r="B23" t="str">
        <x:v>FBN2-2</x:v>
      </x:c>
      <x:c r="C23" t="str">
        <x:v>E13</x:v>
      </x:c>
      <x:c r="D23" t="str">
        <x:v>C14</x:v>
      </x:c>
      <x:c r="E23" t="str">
        <x:v>E15</x:v>
      </x:c>
      <x:c r="F23" t="str">
        <x:v>E16</x:v>
      </x:c>
      <x:c r="G23" t="n">
        <x:v>4</x:v>
      </x:c>
      <x:c r="H23" s="10" t="n">
        <x:f>AVERAGE('Corrected_Wells'!H110,'Corrected_Wells'!H63,'Corrected_Wells'!H112,'Corrected_Wells'!H113)</x:f>
        <x:v>23.697499999999998</x:v>
      </x:c>
      <x:c r="I23" s="10" t="n">
        <x:f>STDEV.S('Corrected_Wells'!H110,'Corrected_Wells'!H63,'Corrected_Wells'!H112,'Corrected_Wells'!H113)</x:f>
        <x:v>0.05251983752196236</x:v>
      </x:c>
      <x:c r="J23" s="10" t="n">
        <x:f>MAX('Corrected_Wells'!H110,'Corrected_Wells'!H63,'Corrected_Wells'!H112,'Corrected_Wells'!H113)-MIN('Corrected_Wells'!H110,'Corrected_Wells'!H63,'Corrected_Wells'!H112,'Corrected_Wells'!H113)</x:f>
        <x:v>0.120000000000001</x:v>
      </x:c>
      <x:c r="K23" s="10" t="n">
        <x:f>AVERAGE('Corrected_Wells'!I110,'Corrected_Wells'!I63,'Corrected_Wells'!I112,'Corrected_Wells'!I113)</x:f>
        <x:v>83.7525</x:v>
      </x:c>
      <x:c r="L23" s="10" t="n">
        <x:f>MAX('Corrected_Wells'!I110,'Corrected_Wells'!I63,'Corrected_Wells'!I112,'Corrected_Wells'!I113)-MIN('Corrected_Wells'!I110,'Corrected_Wells'!I63,'Corrected_Wells'!I112,'Corrected_Wells'!I113)</x:f>
        <x:v>0.15000000000000568</x:v>
      </x:c>
      <x:c r="M23" s="10" t="str">
        <x:v>1</x:v>
      </x:c>
      <x:c r="N23" s="10" t="n">
        <x:v>0.955</x:v>
      </x:c>
      <x:c r="O23" t="str">
        <x:f>IF(G23&lt;'README_QC'!$B$16,"FAIL",IF(OR(I23&gt;'README_QC'!$B$14,L23&gt;'README_QC'!$B$15),"FAIL",IF(OR(I23&gt;'README_QC'!$B$13,P23&lt;&gt;""),"REVIEW","PASS")))</x:f>
        <x:v>REVIEW</x:v>
      </x:c>
      <x:c r="P23" s="15" t="str">
        <x:v>列14已重映射</x:v>
      </x:c>
    </x:row>
    <x:row r="24">
      <x:c r="A24" t="str">
        <x:v>siFBN2-1</x:v>
      </x:c>
      <x:c r="B24" t="str">
        <x:v>ZNF436-1</x:v>
      </x:c>
      <x:c r="C24" t="str">
        <x:v>E17</x:v>
      </x:c>
      <x:c r="D24" t="str">
        <x:v>E18</x:v>
      </x:c>
      <x:c r="E24" t="str">
        <x:v>E19</x:v>
      </x:c>
      <x:c r="F24" t="str">
        <x:v>E20</x:v>
      </x:c>
      <x:c r="G24" t="n">
        <x:v>4</x:v>
      </x:c>
      <x:c r="H24" s="10" t="n">
        <x:f>AVERAGE('Corrected_Wells'!H114,'Corrected_Wells'!H115,'Corrected_Wells'!H116,'Corrected_Wells'!H117)</x:f>
        <x:v>27.6075</x:v>
      </x:c>
      <x:c r="I24" s="10" t="n">
        <x:f>STDEV.S('Corrected_Wells'!H114,'Corrected_Wells'!H115,'Corrected_Wells'!H116,'Corrected_Wells'!H117)</x:f>
        <x:v>0.15564382416273345</x:v>
      </x:c>
      <x:c r="J24" s="10" t="n">
        <x:f>MAX('Corrected_Wells'!H114,'Corrected_Wells'!H115,'Corrected_Wells'!H116,'Corrected_Wells'!H117)-MIN('Corrected_Wells'!H114,'Corrected_Wells'!H115,'Corrected_Wells'!H116,'Corrected_Wells'!H117)</x:f>
        <x:v>0.379999999999999</x:v>
      </x:c>
      <x:c r="K24" s="10" t="n">
        <x:f>AVERAGE('Corrected_Wells'!I114,'Corrected_Wells'!I115,'Corrected_Wells'!I116,'Corrected_Wells'!I117)</x:f>
        <x:v>77.8975</x:v>
      </x:c>
      <x:c r="L24" s="10" t="n">
        <x:f>MAX('Corrected_Wells'!I114,'Corrected_Wells'!I115,'Corrected_Wells'!I116,'Corrected_Wells'!I117)-MIN('Corrected_Wells'!I114,'Corrected_Wells'!I115,'Corrected_Wells'!I116,'Corrected_Wells'!I117)</x:f>
        <x:v>0.18999999999999773</x:v>
      </x:c>
      <x:c r="M24" s="10" t="str">
        <x:v>2</x:v>
      </x:c>
      <x:c r="N24" s="10" t="n">
        <x:v>0.9774999999999999</x:v>
      </x:c>
      <x:c r="O24" t="str">
        <x:f>IF(G24&lt;'README_QC'!$B$16,"FAIL",IF(OR(I24&gt;'README_QC'!$B$14,L24&gt;'README_QC'!$B$15),"FAIL",IF(OR(I24&gt;'README_QC'!$B$13,P24&lt;&gt;""),"REVIEW","PASS")))</x:f>
        <x:v>PASS</x:v>
      </x:c>
      <x:c r="P24" s="15" t="str"/>
    </x:row>
    <x:row r="25">
      <x:c r="A25" t="str">
        <x:v>siFBN2-1</x:v>
      </x:c>
      <x:c r="B25" t="str">
        <x:v>ZNF436-2</x:v>
      </x:c>
      <x:c r="C25" t="str">
        <x:v>E21</x:v>
      </x:c>
      <x:c r="D25" t="str">
        <x:v>E22</x:v>
      </x:c>
      <x:c r="E25" t="str">
        <x:v>E23</x:v>
      </x:c>
      <x:c r="F25" t="str">
        <x:v>E24</x:v>
      </x:c>
      <x:c r="G25" t="n">
        <x:v>4</x:v>
      </x:c>
      <x:c r="H25" s="10" t="n">
        <x:f>AVERAGE('Corrected_Wells'!H118,'Corrected_Wells'!H119,'Corrected_Wells'!H120,'Corrected_Wells'!H121)</x:f>
        <x:v>26.67</x:v>
      </x:c>
      <x:c r="I25" s="10" t="n">
        <x:f>STDEV.S('Corrected_Wells'!H118,'Corrected_Wells'!H119,'Corrected_Wells'!H120,'Corrected_Wells'!H121)</x:f>
        <x:v>0.6683811287980328</x:v>
      </x:c>
      <x:c r="J25" s="10" t="n">
        <x:f>MAX('Corrected_Wells'!H118,'Corrected_Wells'!H119,'Corrected_Wells'!H120,'Corrected_Wells'!H121)-MIN('Corrected_Wells'!H118,'Corrected_Wells'!H119,'Corrected_Wells'!H120,'Corrected_Wells'!H121)</x:f>
        <x:v>1.3999999999999986</x:v>
      </x:c>
      <x:c r="K25" s="10" t="n">
        <x:f>AVERAGE('Corrected_Wells'!I118,'Corrected_Wells'!I119,'Corrected_Wells'!I120,'Corrected_Wells'!I121)</x:f>
        <x:v>73.6825</x:v>
      </x:c>
      <x:c r="L25" s="10" t="n">
        <x:f>MAX('Corrected_Wells'!I118,'Corrected_Wells'!I119,'Corrected_Wells'!I120,'Corrected_Wells'!I121)-MIN('Corrected_Wells'!I118,'Corrected_Wells'!I119,'Corrected_Wells'!I120,'Corrected_Wells'!I121)</x:f>
        <x:v>1.3699999999999903</x:v>
      </x:c>
      <x:c r="M25" s="10" t="str">
        <x:v>3;Unknown</x:v>
      </x:c>
      <x:c r="N25" s="10" t="n">
        <x:v>0.7825000000000001</x:v>
      </x:c>
      <x:c r="O25" t="str">
        <x:f>IF(G25&lt;'README_QC'!$B$16,"FAIL",IF(OR(I25&gt;'README_QC'!$B$14,L25&gt;'README_QC'!$B$15),"FAIL",IF(OR(I25&gt;'README_QC'!$B$13,P25&lt;&gt;""),"REVIEW","PASS")))</x:f>
        <x:v>FAIL</x:v>
      </x:c>
      <x:c r="P25" s="15" t="str">
        <x:v>Cp复孔SD&gt;0.50；Tm复孔范围&gt;0.50°C；熔解聚类不一致</x:v>
      </x:c>
    </x:row>
    <x:row r="26">
      <x:c r="A26" t="str">
        <x:v>siZNF436-4</x:v>
      </x:c>
      <x:c r="B26" t="str">
        <x:v>GAPDH</x:v>
      </x:c>
      <x:c r="C26" t="str">
        <x:v>D1</x:v>
      </x:c>
      <x:c r="D26" t="str">
        <x:v>D2</x:v>
      </x:c>
      <x:c r="E26" t="str">
        <x:v>D3</x:v>
      </x:c>
      <x:c r="F26" t="str">
        <x:v>D4</x:v>
      </x:c>
      <x:c r="G26" t="n">
        <x:v>4</x:v>
      </x:c>
      <x:c r="H26" s="10" t="n">
        <x:f>AVERAGE('Corrected_Wells'!H74,'Corrected_Wells'!H75,'Corrected_Wells'!H76,'Corrected_Wells'!H77)</x:f>
        <x:v>16.835</x:v>
      </x:c>
      <x:c r="I26" s="10" t="n">
        <x:f>STDEV.S('Corrected_Wells'!H74,'Corrected_Wells'!H75,'Corrected_Wells'!H76,'Corrected_Wells'!H77)</x:f>
        <x:v>0.04932882862316155</x:v>
      </x:c>
      <x:c r="J26" s="10" t="n">
        <x:f>MAX('Corrected_Wells'!H74,'Corrected_Wells'!H75,'Corrected_Wells'!H76,'Corrected_Wells'!H77)-MIN('Corrected_Wells'!H74,'Corrected_Wells'!H75,'Corrected_Wells'!H76,'Corrected_Wells'!H77)</x:f>
        <x:v>0.11999999999999744</x:v>
      </x:c>
      <x:c r="K26" s="10" t="n">
        <x:f>AVERAGE('Corrected_Wells'!I74,'Corrected_Wells'!I75,'Corrected_Wells'!I76,'Corrected_Wells'!I77)</x:f>
        <x:v>85.91</x:v>
      </x:c>
      <x:c r="L26" s="10" t="n">
        <x:f>MAX('Corrected_Wells'!I74,'Corrected_Wells'!I75,'Corrected_Wells'!I76,'Corrected_Wells'!I77)-MIN('Corrected_Wells'!I74,'Corrected_Wells'!I75,'Corrected_Wells'!I76,'Corrected_Wells'!I77)</x:f>
        <x:v>0.04000000000000625</x:v>
      </x:c>
      <x:c r="M26" s="10" t="str">
        <x:v>1</x:v>
      </x:c>
      <x:c r="N26" s="10" t="n">
        <x:v>0.885</x:v>
      </x:c>
      <x:c r="O26" t="str">
        <x:f>IF(G26&lt;'README_QC'!$B$16,"FAIL",IF(OR(I26&gt;'README_QC'!$B$14,L26&gt;'README_QC'!$B$15),"FAIL",IF(OR(I26&gt;'README_QC'!$B$13,P26&lt;&gt;""),"REVIEW","PASS")))</x:f>
        <x:v>PASS</x:v>
      </x:c>
      <x:c r="P26" s="15" t="str"/>
    </x:row>
    <x:row r="27">
      <x:c r="A27" t="str">
        <x:v>siZNF436-4</x:v>
      </x:c>
      <x:c r="B27" t="str">
        <x:v>TBP</x:v>
      </x:c>
      <x:c r="C27" t="str">
        <x:v>D5</x:v>
      </x:c>
      <x:c r="D27" t="str">
        <x:v>D6</x:v>
      </x:c>
      <x:c r="E27" t="str">
        <x:v>D7</x:v>
      </x:c>
      <x:c r="F27" t="str">
        <x:v>D8</x:v>
      </x:c>
      <x:c r="G27" t="n">
        <x:v>4</x:v>
      </x:c>
      <x:c r="H27" s="10" t="n">
        <x:f>AVERAGE('Corrected_Wells'!H78,'Corrected_Wells'!H79,'Corrected_Wells'!H80,'Corrected_Wells'!H81)</x:f>
        <x:v>25.572499999999998</x:v>
      </x:c>
      <x:c r="I27" s="10" t="n">
        <x:f>STDEV.S('Corrected_Wells'!H78,'Corrected_Wells'!H79,'Corrected_Wells'!H80,'Corrected_Wells'!H81)</x:f>
        <x:v>0.06075908711186081</x:v>
      </x:c>
      <x:c r="J27" s="10" t="n">
        <x:f>MAX('Corrected_Wells'!H78,'Corrected_Wells'!H79,'Corrected_Wells'!H80,'Corrected_Wells'!H81)-MIN('Corrected_Wells'!H78,'Corrected_Wells'!H79,'Corrected_Wells'!H80,'Corrected_Wells'!H81)</x:f>
        <x:v>0.10999999999999943</x:v>
      </x:c>
      <x:c r="K27" s="10" t="n">
        <x:f>AVERAGE('Corrected_Wells'!I78,'Corrected_Wells'!I79,'Corrected_Wells'!I80,'Corrected_Wells'!I81)</x:f>
        <x:v>80.22</x:v>
      </x:c>
      <x:c r="L27" s="10" t="n">
        <x:f>MAX('Corrected_Wells'!I78,'Corrected_Wells'!I79,'Corrected_Wells'!I80,'Corrected_Wells'!I81)-MIN('Corrected_Wells'!I78,'Corrected_Wells'!I79,'Corrected_Wells'!I80,'Corrected_Wells'!I81)</x:f>
        <x:v>0.0799999999999983</x:v>
      </x:c>
      <x:c r="M27" s="10" t="str">
        <x:v>1</x:v>
      </x:c>
      <x:c r="N27" s="10" t="n">
        <x:v>0.9825</x:v>
      </x:c>
      <x:c r="O27" t="str">
        <x:f>IF(G27&lt;'README_QC'!$B$16,"FAIL",IF(OR(I27&gt;'README_QC'!$B$14,L27&gt;'README_QC'!$B$15),"FAIL",IF(OR(I27&gt;'README_QC'!$B$13,P27&lt;&gt;""),"REVIEW","PASS")))</x:f>
        <x:v>PASS</x:v>
      </x:c>
      <x:c r="P27" s="15" t="str"/>
    </x:row>
    <x:row r="28">
      <x:c r="A28" t="str">
        <x:v>siZNF436-4</x:v>
      </x:c>
      <x:c r="B28" t="str">
        <x:v>FBN2-1</x:v>
      </x:c>
      <x:c r="C28" t="str">
        <x:v>D9</x:v>
      </x:c>
      <x:c r="D28" t="str">
        <x:v>D10</x:v>
      </x:c>
      <x:c r="E28" t="str">
        <x:v>D11</x:v>
      </x:c>
      <x:c r="F28" t="str">
        <x:v>D12</x:v>
      </x:c>
      <x:c r="G28" t="n">
        <x:v>4</x:v>
      </x:c>
      <x:c r="H28" s="10" t="n">
        <x:f>AVERAGE('Corrected_Wells'!H82,'Corrected_Wells'!H83,'Corrected_Wells'!H84,'Corrected_Wells'!H85)</x:f>
        <x:v>24.265</x:v>
      </x:c>
      <x:c r="I28" s="10" t="n">
        <x:f>STDEV.S('Corrected_Wells'!H82,'Corrected_Wells'!H83,'Corrected_Wells'!H84,'Corrected_Wells'!H85)</x:f>
        <x:v>0.4647938611183812</x:v>
      </x:c>
      <x:c r="J28" s="10" t="n">
        <x:f>MAX('Corrected_Wells'!H82,'Corrected_Wells'!H83,'Corrected_Wells'!H84,'Corrected_Wells'!H85)-MIN('Corrected_Wells'!H82,'Corrected_Wells'!H83,'Corrected_Wells'!H84,'Corrected_Wells'!H85)</x:f>
        <x:v>1</x:v>
      </x:c>
      <x:c r="K28" s="10" t="n">
        <x:f>AVERAGE('Corrected_Wells'!I82,'Corrected_Wells'!I83,'Corrected_Wells'!I84,'Corrected_Wells'!I85)</x:f>
        <x:v>79.2825</x:v>
      </x:c>
      <x:c r="L28" s="10" t="n">
        <x:f>MAX('Corrected_Wells'!I82,'Corrected_Wells'!I83,'Corrected_Wells'!I84,'Corrected_Wells'!I85)-MIN('Corrected_Wells'!I82,'Corrected_Wells'!I83,'Corrected_Wells'!I84,'Corrected_Wells'!I85)</x:f>
        <x:v>0.06999999999999318</x:v>
      </x:c>
      <x:c r="M28" s="10" t="str">
        <x:v>2</x:v>
      </x:c>
      <x:c r="N28" s="10" t="n">
        <x:v>0.9725</x:v>
      </x:c>
      <x:c r="O28" t="str">
        <x:f>IF(G28&lt;'README_QC'!$B$16,"FAIL",IF(OR(I28&gt;'README_QC'!$B$14,L28&gt;'README_QC'!$B$15),"FAIL",IF(OR(I28&gt;'README_QC'!$B$13,P28&lt;&gt;""),"REVIEW","PASS")))</x:f>
        <x:v>REVIEW</x:v>
      </x:c>
      <x:c r="P28" s="15" t="str">
        <x:v>Cp复孔SD&gt;0.30；列10人工备注</x:v>
      </x:c>
    </x:row>
    <x:row r="29">
      <x:c r="A29" t="str">
        <x:v>siZNF436-4</x:v>
      </x:c>
      <x:c r="B29" t="str">
        <x:v>FBN2-2</x:v>
      </x:c>
      <x:c r="C29" t="str">
        <x:v>D13</x:v>
      </x:c>
      <x:c r="D29" t="str">
        <x:v>D14</x:v>
      </x:c>
      <x:c r="E29" t="str">
        <x:v>D15</x:v>
      </x:c>
      <x:c r="F29" t="str">
        <x:v>D16</x:v>
      </x:c>
      <x:c r="G29" t="n">
        <x:v>4</x:v>
      </x:c>
      <x:c r="H29" s="10" t="n">
        <x:f>AVERAGE('Corrected_Wells'!H86,'Corrected_Wells'!H87,'Corrected_Wells'!H88,'Corrected_Wells'!H89)</x:f>
        <x:v>24.6125</x:v>
      </x:c>
      <x:c r="I29" s="10" t="n">
        <x:f>STDEV.S('Corrected_Wells'!H86,'Corrected_Wells'!H87,'Corrected_Wells'!H88,'Corrected_Wells'!H89)</x:f>
        <x:v>0.2765712686933825</x:v>
      </x:c>
      <x:c r="J29" s="10" t="n">
        <x:f>MAX('Corrected_Wells'!H86,'Corrected_Wells'!H87,'Corrected_Wells'!H88,'Corrected_Wells'!H89)-MIN('Corrected_Wells'!H86,'Corrected_Wells'!H87,'Corrected_Wells'!H88,'Corrected_Wells'!H89)</x:f>
        <x:v>0.5800000000000018</x:v>
      </x:c>
      <x:c r="K29" s="10" t="n">
        <x:f>AVERAGE('Corrected_Wells'!I86,'Corrected_Wells'!I87,'Corrected_Wells'!I88,'Corrected_Wells'!I89)</x:f>
        <x:v>83.6</x:v>
      </x:c>
      <x:c r="L29" s="10" t="n">
        <x:f>MAX('Corrected_Wells'!I86,'Corrected_Wells'!I87,'Corrected_Wells'!I88,'Corrected_Wells'!I89)-MIN('Corrected_Wells'!I86,'Corrected_Wells'!I87,'Corrected_Wells'!I88,'Corrected_Wells'!I89)</x:f>
        <x:v>0.15000000000000568</x:v>
      </x:c>
      <x:c r="M29" s="10" t="str">
        <x:v>1</x:v>
      </x:c>
      <x:c r="N29" s="10" t="n">
        <x:v>0.9875</x:v>
      </x:c>
      <x:c r="O29" t="str">
        <x:f>IF(G29&lt;'README_QC'!$B$16,"FAIL",IF(OR(I29&gt;'README_QC'!$B$14,L29&gt;'README_QC'!$B$15),"FAIL",IF(OR(I29&gt;'README_QC'!$B$13,P29&lt;&gt;""),"REVIEW","PASS")))</x:f>
        <x:v>REVIEW</x:v>
      </x:c>
      <x:c r="P29" s="15" t="str">
        <x:v>列14已重映射</x:v>
      </x:c>
    </x:row>
    <x:row r="30">
      <x:c r="A30" t="str">
        <x:v>siZNF436-4</x:v>
      </x:c>
      <x:c r="B30" t="str">
        <x:v>ZNF436-1</x:v>
      </x:c>
      <x:c r="C30" t="str">
        <x:v>D17</x:v>
      </x:c>
      <x:c r="D30" t="str">
        <x:v>D18</x:v>
      </x:c>
      <x:c r="E30" t="str">
        <x:v>D19</x:v>
      </x:c>
      <x:c r="F30" t="str">
        <x:v>D20</x:v>
      </x:c>
      <x:c r="G30" t="n">
        <x:v>4</x:v>
      </x:c>
      <x:c r="H30" s="10" t="n">
        <x:f>AVERAGE('Corrected_Wells'!H90,'Corrected_Wells'!H91,'Corrected_Wells'!H92,'Corrected_Wells'!H93)</x:f>
        <x:v>29.9075</x:v>
      </x:c>
      <x:c r="I30" s="10" t="n">
        <x:f>STDEV.S('Corrected_Wells'!H90,'Corrected_Wells'!H91,'Corrected_Wells'!H92,'Corrected_Wells'!H93)</x:f>
        <x:v>0.16070158679988242</x:v>
      </x:c>
      <x:c r="J30" s="10" t="n">
        <x:f>MAX('Corrected_Wells'!H90,'Corrected_Wells'!H91,'Corrected_Wells'!H92,'Corrected_Wells'!H93)-MIN('Corrected_Wells'!H90,'Corrected_Wells'!H91,'Corrected_Wells'!H92,'Corrected_Wells'!H93)</x:f>
        <x:v>0.370000000000001</x:v>
      </x:c>
      <x:c r="K30" s="10" t="n">
        <x:f>AVERAGE('Corrected_Wells'!I90,'Corrected_Wells'!I91,'Corrected_Wells'!I92,'Corrected_Wells'!I93)</x:f>
        <x:v>77.5125</x:v>
      </x:c>
      <x:c r="L30" s="10" t="n">
        <x:f>MAX('Corrected_Wells'!I90,'Corrected_Wells'!I91,'Corrected_Wells'!I92,'Corrected_Wells'!I93)-MIN('Corrected_Wells'!I90,'Corrected_Wells'!I91,'Corrected_Wells'!I92,'Corrected_Wells'!I93)</x:f>
        <x:v>0.25</x:v>
      </x:c>
      <x:c r="M30" s="10" t="str">
        <x:v>2;Unknown</x:v>
      </x:c>
      <x:c r="N30" s="10" t="n">
        <x:v>0.82</x:v>
      </x:c>
      <x:c r="O30" t="str">
        <x:f>IF(G30&lt;'README_QC'!$B$16,"FAIL",IF(OR(I30&gt;'README_QC'!$B$14,L30&gt;'README_QC'!$B$15),"FAIL",IF(OR(I30&gt;'README_QC'!$B$13,P30&lt;&gt;""),"REVIEW","PASS")))</x:f>
        <x:v>REVIEW</x:v>
      </x:c>
      <x:c r="P30" s="15" t="str">
        <x:v>熔解聚类不一致</x:v>
      </x:c>
    </x:row>
    <x:row r="31">
      <x:c r="A31" t="str">
        <x:v>siZNF436-4</x:v>
      </x:c>
      <x:c r="B31" t="str">
        <x:v>ZNF436-2</x:v>
      </x:c>
      <x:c r="C31" t="str">
        <x:v>D21</x:v>
      </x:c>
      <x:c r="D31" t="str">
        <x:v>D22</x:v>
      </x:c>
      <x:c r="E31" t="str">
        <x:v>D23</x:v>
      </x:c>
      <x:c r="F31" t="str">
        <x:v>D24</x:v>
      </x:c>
      <x:c r="G31" t="n">
        <x:v>4</x:v>
      </x:c>
      <x:c r="H31" s="10" t="n">
        <x:f>AVERAGE('Corrected_Wells'!H94,'Corrected_Wells'!H95,'Corrected_Wells'!H96,'Corrected_Wells'!H97)</x:f>
        <x:v>26.717499999999998</x:v>
      </x:c>
      <x:c r="I31" s="10" t="n">
        <x:f>STDEV.S('Corrected_Wells'!H94,'Corrected_Wells'!H95,'Corrected_Wells'!H96,'Corrected_Wells'!H97)</x:f>
        <x:v>0.22677080940897146</x:v>
      </x:c>
      <x:c r="J31" s="10" t="n">
        <x:f>MAX('Corrected_Wells'!H94,'Corrected_Wells'!H95,'Corrected_Wells'!H96,'Corrected_Wells'!H97)-MIN('Corrected_Wells'!H94,'Corrected_Wells'!H95,'Corrected_Wells'!H96,'Corrected_Wells'!H97)</x:f>
        <x:v>0.4800000000000004</x:v>
      </x:c>
      <x:c r="K31" s="10" t="n">
        <x:f>AVERAGE('Corrected_Wells'!I94,'Corrected_Wells'!I95,'Corrected_Wells'!I96,'Corrected_Wells'!I97)</x:f>
        <x:v>73.1275</x:v>
      </x:c>
      <x:c r="L31" s="10" t="n">
        <x:f>MAX('Corrected_Wells'!I94,'Corrected_Wells'!I95,'Corrected_Wells'!I96,'Corrected_Wells'!I97)-MIN('Corrected_Wells'!I94,'Corrected_Wells'!I95,'Corrected_Wells'!I96,'Corrected_Wells'!I97)</x:f>
        <x:v>0.15000000000000568</x:v>
      </x:c>
      <x:c r="M31" s="10" t="str">
        <x:v>3</x:v>
      </x:c>
      <x:c r="N31" s="10" t="n">
        <x:v>0.9875</x:v>
      </x:c>
      <x:c r="O31" t="str">
        <x:f>IF(G31&lt;'README_QC'!$B$16,"FAIL",IF(OR(I31&gt;'README_QC'!$B$14,L31&gt;'README_QC'!$B$15),"FAIL",IF(OR(I31&gt;'README_QC'!$B$13,P31&lt;&gt;""),"REVIEW","PASS")))</x:f>
        <x:v>PASS</x:v>
      </x:c>
      <x:c r="P31" s="15" t="str"/>
    </x:row>
    <x:row r="32">
      <x:c r="A32" t="str">
        <x:v>siFBN2-2</x:v>
      </x:c>
      <x:c r="B32" t="str">
        <x:v>GAPDH</x:v>
      </x:c>
      <x:c r="C32" t="str">
        <x:v>G1</x:v>
      </x:c>
      <x:c r="D32" t="str">
        <x:v>G2</x:v>
      </x:c>
      <x:c r="E32" t="str">
        <x:v>G3</x:v>
      </x:c>
      <x:c r="F32" t="str">
        <x:v>G4</x:v>
      </x:c>
      <x:c r="G32" t="n">
        <x:v>4</x:v>
      </x:c>
      <x:c r="H32" s="10" t="n">
        <x:f>AVERAGE('Corrected_Wells'!H122,'Corrected_Wells'!H123,'Corrected_Wells'!H124,'Corrected_Wells'!H125)</x:f>
        <x:v>16.085</x:v>
      </x:c>
      <x:c r="I32" s="10" t="n">
        <x:f>STDEV.S('Corrected_Wells'!H122,'Corrected_Wells'!H123,'Corrected_Wells'!H124,'Corrected_Wells'!H125)</x:f>
        <x:v>0.025166114784236943</x:v>
      </x:c>
      <x:c r="J32" s="10" t="n">
        <x:f>MAX('Corrected_Wells'!H122,'Corrected_Wells'!H123,'Corrected_Wells'!H124,'Corrected_Wells'!H125)-MIN('Corrected_Wells'!H122,'Corrected_Wells'!H123,'Corrected_Wells'!H124,'Corrected_Wells'!H125)</x:f>
        <x:v>0.060000000000002274</x:v>
      </x:c>
      <x:c r="K32" s="10" t="n">
        <x:f>AVERAGE('Corrected_Wells'!I122,'Corrected_Wells'!I123,'Corrected_Wells'!I124,'Corrected_Wells'!I125)</x:f>
        <x:v>85.995</x:v>
      </x:c>
      <x:c r="L32" s="10" t="n">
        <x:f>MAX('Corrected_Wells'!I122,'Corrected_Wells'!I123,'Corrected_Wells'!I124,'Corrected_Wells'!I125)-MIN('Corrected_Wells'!I122,'Corrected_Wells'!I123,'Corrected_Wells'!I124,'Corrected_Wells'!I125)</x:f>
        <x:v>0.030000000000001137</x:v>
      </x:c>
      <x:c r="M32" s="10" t="str">
        <x:v>1</x:v>
      </x:c>
      <x:c r="N32" s="10" t="n">
        <x:v>0.875</x:v>
      </x:c>
      <x:c r="O32" t="str">
        <x:f>IF(G32&lt;'README_QC'!$B$16,"FAIL",IF(OR(I32&gt;'README_QC'!$B$14,L32&gt;'README_QC'!$B$15),"FAIL",IF(OR(I32&gt;'README_QC'!$B$13,P32&lt;&gt;""),"REVIEW","PASS")))</x:f>
        <x:v>PASS</x:v>
      </x:c>
      <x:c r="P32" s="15" t="str"/>
    </x:row>
    <x:row r="33">
      <x:c r="A33" t="str">
        <x:v>siFBN2-2</x:v>
      </x:c>
      <x:c r="B33" t="str">
        <x:v>TBP</x:v>
      </x:c>
      <x:c r="C33" t="str">
        <x:v>G5</x:v>
      </x:c>
      <x:c r="D33" t="str">
        <x:v>G6</x:v>
      </x:c>
      <x:c r="E33" t="str">
        <x:v>G7</x:v>
      </x:c>
      <x:c r="F33" t="str">
        <x:v>G8</x:v>
      </x:c>
      <x:c r="G33" t="n">
        <x:v>4</x:v>
      </x:c>
      <x:c r="H33" s="10" t="n">
        <x:f>AVERAGE('Corrected_Wells'!H126,'Corrected_Wells'!H127,'Corrected_Wells'!H128,'Corrected_Wells'!H129)</x:f>
        <x:v>24.645000000000003</x:v>
      </x:c>
      <x:c r="I33" s="10" t="n">
        <x:f>STDEV.S('Corrected_Wells'!H126,'Corrected_Wells'!H127,'Corrected_Wells'!H128,'Corrected_Wells'!H129)</x:f>
        <x:v>0.04434711565216596</x:v>
      </x:c>
      <x:c r="J33" s="10" t="n">
        <x:f>MAX('Corrected_Wells'!H126,'Corrected_Wells'!H127,'Corrected_Wells'!H128,'Corrected_Wells'!H129)-MIN('Corrected_Wells'!H126,'Corrected_Wells'!H127,'Corrected_Wells'!H128,'Corrected_Wells'!H129)</x:f>
        <x:v>0.09999999999999787</x:v>
      </x:c>
      <x:c r="K33" s="10" t="n">
        <x:f>AVERAGE('Corrected_Wells'!I126,'Corrected_Wells'!I127,'Corrected_Wells'!I128,'Corrected_Wells'!I129)</x:f>
        <x:v>80.3175</x:v>
      </x:c>
      <x:c r="L33" s="10" t="n">
        <x:f>MAX('Corrected_Wells'!I126,'Corrected_Wells'!I127,'Corrected_Wells'!I128,'Corrected_Wells'!I129)-MIN('Corrected_Wells'!I126,'Corrected_Wells'!I127,'Corrected_Wells'!I128,'Corrected_Wells'!I129)</x:f>
        <x:v>0.0799999999999983</x:v>
      </x:c>
      <x:c r="M33" s="10" t="str">
        <x:v>1</x:v>
      </x:c>
      <x:c r="N33" s="10" t="n">
        <x:v>0.9675</x:v>
      </x:c>
      <x:c r="O33" t="str">
        <x:f>IF(G33&lt;'README_QC'!$B$16,"FAIL",IF(OR(I33&gt;'README_QC'!$B$14,L33&gt;'README_QC'!$B$15),"FAIL",IF(OR(I33&gt;'README_QC'!$B$13,P33&lt;&gt;""),"REVIEW","PASS")))</x:f>
        <x:v>PASS</x:v>
      </x:c>
      <x:c r="P33" s="15" t="str"/>
    </x:row>
    <x:row r="34">
      <x:c r="A34" t="str">
        <x:v>siFBN2-2</x:v>
      </x:c>
      <x:c r="B34" t="str">
        <x:v>FBN2-1</x:v>
      </x:c>
      <x:c r="C34" t="str">
        <x:v>G9</x:v>
      </x:c>
      <x:c r="D34" t="str">
        <x:v>G10</x:v>
      </x:c>
      <x:c r="E34" t="str">
        <x:v>G11</x:v>
      </x:c>
      <x:c r="F34" t="str">
        <x:v>G12</x:v>
      </x:c>
      <x:c r="G34" t="n">
        <x:v>4</x:v>
      </x:c>
      <x:c r="H34" s="10" t="n">
        <x:f>AVERAGE('Corrected_Wells'!H130,'Corrected_Wells'!H131,'Corrected_Wells'!H132,'Corrected_Wells'!H133)</x:f>
        <x:v>26.4175</x:v>
      </x:c>
      <x:c r="I34" s="10" t="n">
        <x:f>STDEV.S('Corrected_Wells'!H130,'Corrected_Wells'!H131,'Corrected_Wells'!H132,'Corrected_Wells'!H133)</x:f>
        <x:v>0.10719919153923907</x:v>
      </x:c>
      <x:c r="J34" s="10" t="n">
        <x:f>MAX('Corrected_Wells'!H130,'Corrected_Wells'!H131,'Corrected_Wells'!H132,'Corrected_Wells'!H133)-MIN('Corrected_Wells'!H130,'Corrected_Wells'!H131,'Corrected_Wells'!H132,'Corrected_Wells'!H133)</x:f>
        <x:v>0.22999999999999687</x:v>
      </x:c>
      <x:c r="K34" s="10" t="n">
        <x:f>AVERAGE('Corrected_Wells'!I130,'Corrected_Wells'!I131,'Corrected_Wells'!I132,'Corrected_Wells'!I133)</x:f>
        <x:v>79.09</x:v>
      </x:c>
      <x:c r="L34" s="10" t="n">
        <x:f>MAX('Corrected_Wells'!I130,'Corrected_Wells'!I131,'Corrected_Wells'!I132,'Corrected_Wells'!I133)-MIN('Corrected_Wells'!I130,'Corrected_Wells'!I131,'Corrected_Wells'!I132,'Corrected_Wells'!I133)</x:f>
        <x:v>0.2600000000000051</x:v>
      </x:c>
      <x:c r="M34" s="10" t="str">
        <x:v>2</x:v>
      </x:c>
      <x:c r="N34" s="10" t="n">
        <x:v>0.99</x:v>
      </x:c>
      <x:c r="O34" t="str">
        <x:f>IF(G34&lt;'README_QC'!$B$16,"FAIL",IF(OR(I34&gt;'README_QC'!$B$14,L34&gt;'README_QC'!$B$15),"FAIL",IF(OR(I34&gt;'README_QC'!$B$13,P34&lt;&gt;""),"REVIEW","PASS")))</x:f>
        <x:v>REVIEW</x:v>
      </x:c>
      <x:c r="P34" s="15" t="str">
        <x:v>列10人工备注</x:v>
      </x:c>
    </x:row>
    <x:row r="35">
      <x:c r="A35" t="str">
        <x:v>siFBN2-2</x:v>
      </x:c>
      <x:c r="B35" t="str">
        <x:v>FBN2-2</x:v>
      </x:c>
      <x:c r="C35" t="str">
        <x:v>G13</x:v>
      </x:c>
      <x:c r="D35" t="str">
        <x:v>E14</x:v>
      </x:c>
      <x:c r="E35" t="str">
        <x:v>G15</x:v>
      </x:c>
      <x:c r="F35" t="str">
        <x:v>G16</x:v>
      </x:c>
      <x:c r="G35" t="n">
        <x:v>4</x:v>
      </x:c>
      <x:c r="H35" s="10" t="n">
        <x:f>AVERAGE('Corrected_Wells'!H134,'Corrected_Wells'!H111,'Corrected_Wells'!H136,'Corrected_Wells'!H137)</x:f>
        <x:v>26.152499999999996</x:v>
      </x:c>
      <x:c r="I35" s="10" t="n">
        <x:f>STDEV.S('Corrected_Wells'!H134,'Corrected_Wells'!H111,'Corrected_Wells'!H136,'Corrected_Wells'!H137)</x:f>
        <x:v>0.21406774628607694</x:v>
      </x:c>
      <x:c r="J35" s="10" t="n">
        <x:f>MAX('Corrected_Wells'!H134,'Corrected_Wells'!H111,'Corrected_Wells'!H136,'Corrected_Wells'!H137)-MIN('Corrected_Wells'!H134,'Corrected_Wells'!H111,'Corrected_Wells'!H136,'Corrected_Wells'!H137)</x:f>
        <x:v>0.4800000000000004</x:v>
      </x:c>
      <x:c r="K35" s="10" t="n">
        <x:f>AVERAGE('Corrected_Wells'!I134,'Corrected_Wells'!I111,'Corrected_Wells'!I136,'Corrected_Wells'!I137)</x:f>
        <x:v>83.41749999999999</x:v>
      </x:c>
      <x:c r="L35" s="10" t="n">
        <x:f>MAX('Corrected_Wells'!I134,'Corrected_Wells'!I111,'Corrected_Wells'!I136,'Corrected_Wells'!I137)-MIN('Corrected_Wells'!I134,'Corrected_Wells'!I111,'Corrected_Wells'!I136,'Corrected_Wells'!I137)</x:f>
        <x:v>0.15000000000000568</x:v>
      </x:c>
      <x:c r="M35" s="10" t="str">
        <x:v>1</x:v>
      </x:c>
      <x:c r="N35" s="10" t="n">
        <x:v>0.935</x:v>
      </x:c>
      <x:c r="O35" t="str">
        <x:f>IF(G35&lt;'README_QC'!$B$16,"FAIL",IF(OR(I35&gt;'README_QC'!$B$14,L35&gt;'README_QC'!$B$15),"FAIL",IF(OR(I35&gt;'README_QC'!$B$13,P35&lt;&gt;""),"REVIEW","PASS")))</x:f>
        <x:v>REVIEW</x:v>
      </x:c>
      <x:c r="P35" s="15" t="str">
        <x:v>列14已重映射</x:v>
      </x:c>
    </x:row>
    <x:row r="36">
      <x:c r="A36" t="str">
        <x:v>siFBN2-2</x:v>
      </x:c>
      <x:c r="B36" t="str">
        <x:v>ZNF436-1</x:v>
      </x:c>
      <x:c r="C36" t="str">
        <x:v>G17</x:v>
      </x:c>
      <x:c r="D36" t="str">
        <x:v>G18</x:v>
      </x:c>
      <x:c r="E36" t="str">
        <x:v>G19</x:v>
      </x:c>
      <x:c r="F36" t="str">
        <x:v>G20</x:v>
      </x:c>
      <x:c r="G36" t="n">
        <x:v>4</x:v>
      </x:c>
      <x:c r="H36" s="10" t="n">
        <x:f>AVERAGE('Corrected_Wells'!H138,'Corrected_Wells'!H139,'Corrected_Wells'!H140,'Corrected_Wells'!H141)</x:f>
        <x:v>27.455000000000002</x:v>
      </x:c>
      <x:c r="I36" s="10" t="n">
        <x:f>STDEV.S('Corrected_Wells'!H138,'Corrected_Wells'!H139,'Corrected_Wells'!H140,'Corrected_Wells'!H141)</x:f>
        <x:v>0.14640127503998523</x:v>
      </x:c>
      <x:c r="J36" s="10" t="n">
        <x:f>MAX('Corrected_Wells'!H138,'Corrected_Wells'!H139,'Corrected_Wells'!H140,'Corrected_Wells'!H141)-MIN('Corrected_Wells'!H138,'Corrected_Wells'!H139,'Corrected_Wells'!H140,'Corrected_Wells'!H141)</x:f>
        <x:v>0.3200000000000003</x:v>
      </x:c>
      <x:c r="K36" s="10" t="n">
        <x:f>AVERAGE('Corrected_Wells'!I138,'Corrected_Wells'!I139,'Corrected_Wells'!I140,'Corrected_Wells'!I141)</x:f>
        <x:v>77.92499999999998</x:v>
      </x:c>
      <x:c r="L36" s="10" t="n">
        <x:f>MAX('Corrected_Wells'!I138,'Corrected_Wells'!I139,'Corrected_Wells'!I140,'Corrected_Wells'!I141)-MIN('Corrected_Wells'!I138,'Corrected_Wells'!I139,'Corrected_Wells'!I140,'Corrected_Wells'!I141)</x:f>
        <x:v>0.14000000000000057</x:v>
      </x:c>
      <x:c r="M36" s="10" t="str">
        <x:v>2</x:v>
      </x:c>
      <x:c r="N36" s="10" t="n">
        <x:v>0.9825</x:v>
      </x:c>
      <x:c r="O36" t="str">
        <x:f>IF(G36&lt;'README_QC'!$B$16,"FAIL",IF(OR(I36&gt;'README_QC'!$B$14,L36&gt;'README_QC'!$B$15),"FAIL",IF(OR(I36&gt;'README_QC'!$B$13,P36&lt;&gt;""),"REVIEW","PASS")))</x:f>
        <x:v>PASS</x:v>
      </x:c>
      <x:c r="P36" s="15" t="str"/>
    </x:row>
    <x:row r="37">
      <x:c r="A37" t="str">
        <x:v>siFBN2-2</x:v>
      </x:c>
      <x:c r="B37" t="str">
        <x:v>ZNF436-2</x:v>
      </x:c>
      <x:c r="C37" t="str">
        <x:v>G21</x:v>
      </x:c>
      <x:c r="D37" t="str">
        <x:v>G22</x:v>
      </x:c>
      <x:c r="E37" t="str">
        <x:v>G23</x:v>
      </x:c>
      <x:c r="F37" t="str">
        <x:v>G24</x:v>
      </x:c>
      <x:c r="G37" t="n">
        <x:v>4</x:v>
      </x:c>
      <x:c r="H37" s="10" t="n">
        <x:f>AVERAGE('Corrected_Wells'!H142,'Corrected_Wells'!H143,'Corrected_Wells'!H144,'Corrected_Wells'!H145)</x:f>
        <x:v>26.5675</x:v>
      </x:c>
      <x:c r="I37" s="10" t="n">
        <x:f>STDEV.S('Corrected_Wells'!H142,'Corrected_Wells'!H143,'Corrected_Wells'!H144,'Corrected_Wells'!H145)</x:f>
        <x:v>0.11954775893619549</x:v>
      </x:c>
      <x:c r="J37" s="10" t="n">
        <x:f>MAX('Corrected_Wells'!H142,'Corrected_Wells'!H143,'Corrected_Wells'!H144,'Corrected_Wells'!H145)-MIN('Corrected_Wells'!H142,'Corrected_Wells'!H143,'Corrected_Wells'!H144,'Corrected_Wells'!H145)</x:f>
        <x:v>0.23000000000000043</x:v>
      </x:c>
      <x:c r="K37" s="10" t="n">
        <x:f>AVERAGE('Corrected_Wells'!I142,'Corrected_Wells'!I143,'Corrected_Wells'!I144,'Corrected_Wells'!I145)</x:f>
        <x:v>73.19500000000001</x:v>
      </x:c>
      <x:c r="L37" s="10" t="n">
        <x:f>MAX('Corrected_Wells'!I142,'Corrected_Wells'!I143,'Corrected_Wells'!I144,'Corrected_Wells'!I145)-MIN('Corrected_Wells'!I142,'Corrected_Wells'!I143,'Corrected_Wells'!I144,'Corrected_Wells'!I145)</x:f>
        <x:v>0.20000000000000284</x:v>
      </x:c>
      <x:c r="M37" s="10" t="str">
        <x:v>3</x:v>
      </x:c>
      <x:c r="N37" s="10" t="n">
        <x:v>0.9075000000000001</x:v>
      </x:c>
      <x:c r="O37" t="str">
        <x:f>IF(G37&lt;'README_QC'!$B$16,"FAIL",IF(OR(I37&gt;'README_QC'!$B$14,L37&gt;'README_QC'!$B$15),"FAIL",IF(OR(I37&gt;'README_QC'!$B$13,P37&lt;&gt;""),"REVIEW","PASS")))</x:f>
        <x:v>PASS</x:v>
      </x:c>
      <x:c r="P37" s="15" t="str"/>
    </x:row>
    <x:row r="38">
      <x:c r="A38" t="str">
        <x:v>siFBN2-3</x:v>
      </x:c>
      <x:c r="B38" t="str">
        <x:v>GAPDH</x:v>
      </x:c>
      <x:c r="C38" t="str">
        <x:v>I1</x:v>
      </x:c>
      <x:c r="D38" t="str">
        <x:v>I2</x:v>
      </x:c>
      <x:c r="E38" t="str">
        <x:v>I3</x:v>
      </x:c>
      <x:c r="F38" t="str">
        <x:v>I4</x:v>
      </x:c>
      <x:c r="G38" t="n">
        <x:v>4</x:v>
      </x:c>
      <x:c r="H38" s="10" t="n">
        <x:f>AVERAGE('Corrected_Wells'!H146,'Corrected_Wells'!H147,'Corrected_Wells'!H148,'Corrected_Wells'!H149)</x:f>
        <x:v>15.9575</x:v>
      </x:c>
      <x:c r="I38" s="10" t="n">
        <x:f>STDEV.S('Corrected_Wells'!H146,'Corrected_Wells'!H147,'Corrected_Wells'!H148,'Corrected_Wells'!H149)</x:f>
        <x:v>0.05123475382979838</x:v>
      </x:c>
      <x:c r="J38" s="10" t="n">
        <x:f>MAX('Corrected_Wells'!H146,'Corrected_Wells'!H147,'Corrected_Wells'!H148,'Corrected_Wells'!H149)-MIN('Corrected_Wells'!H146,'Corrected_Wells'!H147,'Corrected_Wells'!H148,'Corrected_Wells'!H149)</x:f>
        <x:v>0.120000000000001</x:v>
      </x:c>
      <x:c r="K38" s="10" t="n">
        <x:f>AVERAGE('Corrected_Wells'!I146,'Corrected_Wells'!I147,'Corrected_Wells'!I148,'Corrected_Wells'!I149)</x:f>
        <x:v>86.0025</x:v>
      </x:c>
      <x:c r="L38" s="10" t="n">
        <x:f>MAX('Corrected_Wells'!I146,'Corrected_Wells'!I147,'Corrected_Wells'!I148,'Corrected_Wells'!I149)-MIN('Corrected_Wells'!I146,'Corrected_Wells'!I147,'Corrected_Wells'!I148,'Corrected_Wells'!I149)</x:f>
        <x:v>0.060000000000002274</x:v>
      </x:c>
      <x:c r="M38" s="10" t="str">
        <x:v>1</x:v>
      </x:c>
      <x:c r="N38" s="10" t="n">
        <x:v>0.86</x:v>
      </x:c>
      <x:c r="O38" t="str">
        <x:f>IF(G38&lt;'README_QC'!$B$16,"FAIL",IF(OR(I38&gt;'README_QC'!$B$14,L38&gt;'README_QC'!$B$15),"FAIL",IF(OR(I38&gt;'README_QC'!$B$13,P38&lt;&gt;""),"REVIEW","PASS")))</x:f>
        <x:v>PASS</x:v>
      </x:c>
      <x:c r="P38" s="15" t="str"/>
    </x:row>
    <x:row r="39">
      <x:c r="A39" t="str">
        <x:v>siFBN2-3</x:v>
      </x:c>
      <x:c r="B39" t="str">
        <x:v>TBP</x:v>
      </x:c>
      <x:c r="C39" t="str">
        <x:v>I5</x:v>
      </x:c>
      <x:c r="D39" t="str">
        <x:v>I6</x:v>
      </x:c>
      <x:c r="E39" t="str">
        <x:v>I7</x:v>
      </x:c>
      <x:c r="F39" t="str">
        <x:v>I8</x:v>
      </x:c>
      <x:c r="G39" t="n">
        <x:v>4</x:v>
      </x:c>
      <x:c r="H39" s="10" t="n">
        <x:f>AVERAGE('Corrected_Wells'!H150,'Corrected_Wells'!H151,'Corrected_Wells'!H152,'Corrected_Wells'!H153)</x:f>
        <x:v>24.865000000000002</x:v>
      </x:c>
      <x:c r="I39" s="10" t="n">
        <x:f>STDEV.S('Corrected_Wells'!H150,'Corrected_Wells'!H151,'Corrected_Wells'!H152,'Corrected_Wells'!H153)</x:f>
        <x:v>0.03109126351029577</x:v>
      </x:c>
      <x:c r="J39" s="10" t="n">
        <x:f>MAX('Corrected_Wells'!H150,'Corrected_Wells'!H151,'Corrected_Wells'!H152,'Corrected_Wells'!H153)-MIN('Corrected_Wells'!H150,'Corrected_Wells'!H151,'Corrected_Wells'!H152,'Corrected_Wells'!H153)</x:f>
        <x:v>0.07000000000000028</x:v>
      </x:c>
      <x:c r="K39" s="10" t="n">
        <x:f>AVERAGE('Corrected_Wells'!I150,'Corrected_Wells'!I151,'Corrected_Wells'!I152,'Corrected_Wells'!I153)</x:f>
        <x:v>80.3325</x:v>
      </x:c>
      <x:c r="L39" s="10" t="n">
        <x:f>MAX('Corrected_Wells'!I150,'Corrected_Wells'!I151,'Corrected_Wells'!I152,'Corrected_Wells'!I153)-MIN('Corrected_Wells'!I150,'Corrected_Wells'!I151,'Corrected_Wells'!I152,'Corrected_Wells'!I153)</x:f>
        <x:v>0.06999999999999318</x:v>
      </x:c>
      <x:c r="M39" s="10" t="str">
        <x:v>1</x:v>
      </x:c>
      <x:c r="N39" s="10" t="n">
        <x:v>0.98</x:v>
      </x:c>
      <x:c r="O39" t="str">
        <x:f>IF(G39&lt;'README_QC'!$B$16,"FAIL",IF(OR(I39&gt;'README_QC'!$B$14,L39&gt;'README_QC'!$B$15),"FAIL",IF(OR(I39&gt;'README_QC'!$B$13,P39&lt;&gt;""),"REVIEW","PASS")))</x:f>
        <x:v>PASS</x:v>
      </x:c>
      <x:c r="P39" s="15" t="str"/>
    </x:row>
    <x:row r="40">
      <x:c r="A40" t="str">
        <x:v>siFBN2-3</x:v>
      </x:c>
      <x:c r="B40" t="str">
        <x:v>FBN2-1</x:v>
      </x:c>
      <x:c r="C40" t="str">
        <x:v>I9</x:v>
      </x:c>
      <x:c r="D40" t="str">
        <x:v>I10</x:v>
      </x:c>
      <x:c r="E40" t="str">
        <x:v>I11</x:v>
      </x:c>
      <x:c r="F40" t="str">
        <x:v>I12</x:v>
      </x:c>
      <x:c r="G40" t="n">
        <x:v>4</x:v>
      </x:c>
      <x:c r="H40" s="10" t="n">
        <x:f>AVERAGE('Corrected_Wells'!H154,'Corrected_Wells'!H155,'Corrected_Wells'!H156,'Corrected_Wells'!H157)</x:f>
        <x:v>27.0925</x:v>
      </x:c>
      <x:c r="I40" s="10" t="n">
        <x:f>STDEV.S('Corrected_Wells'!H154,'Corrected_Wells'!H155,'Corrected_Wells'!H156,'Corrected_Wells'!H157)</x:f>
        <x:v>0.1327591804735177</x:v>
      </x:c>
      <x:c r="J40" s="10" t="n">
        <x:f>MAX('Corrected_Wells'!H154,'Corrected_Wells'!H155,'Corrected_Wells'!H156,'Corrected_Wells'!H157)-MIN('Corrected_Wells'!H154,'Corrected_Wells'!H155,'Corrected_Wells'!H156,'Corrected_Wells'!H157)</x:f>
        <x:v>0.3200000000000003</x:v>
      </x:c>
      <x:c r="K40" s="10" t="n">
        <x:f>AVERAGE('Corrected_Wells'!I154,'Corrected_Wells'!I155,'Corrected_Wells'!I156,'Corrected_Wells'!I157)</x:f>
        <x:v>78.94</x:v>
      </x:c>
      <x:c r="L40" s="10" t="n">
        <x:f>MAX('Corrected_Wells'!I154,'Corrected_Wells'!I155,'Corrected_Wells'!I156,'Corrected_Wells'!I157)-MIN('Corrected_Wells'!I154,'Corrected_Wells'!I155,'Corrected_Wells'!I156,'Corrected_Wells'!I157)</x:f>
        <x:v>0.3199999999999932</x:v>
      </x:c>
      <x:c r="M40" s="10" t="str">
        <x:v>2</x:v>
      </x:c>
      <x:c r="N40" s="10" t="n">
        <x:v>0.9674999999999999</x:v>
      </x:c>
      <x:c r="O40" t="str">
        <x:f>IF(G40&lt;'README_QC'!$B$16,"FAIL",IF(OR(I40&gt;'README_QC'!$B$14,L40&gt;'README_QC'!$B$15),"FAIL",IF(OR(I40&gt;'README_QC'!$B$13,P40&lt;&gt;""),"REVIEW","PASS")))</x:f>
        <x:v>REVIEW</x:v>
      </x:c>
      <x:c r="P40" s="15" t="str">
        <x:v>列10人工备注</x:v>
      </x:c>
    </x:row>
    <x:row r="41">
      <x:c r="A41" t="str">
        <x:v>siFBN2-3</x:v>
      </x:c>
      <x:c r="B41" t="str">
        <x:v>FBN2-2</x:v>
      </x:c>
      <x:c r="C41" t="str">
        <x:v>I13</x:v>
      </x:c>
      <x:c r="D41" t="str">
        <x:v>G14</x:v>
      </x:c>
      <x:c r="E41" t="str">
        <x:v>I15</x:v>
      </x:c>
      <x:c r="F41" t="str">
        <x:v>I16</x:v>
      </x:c>
      <x:c r="G41" t="n">
        <x:v>4</x:v>
      </x:c>
      <x:c r="H41" s="10" t="n">
        <x:f>AVERAGE('Corrected_Wells'!H158,'Corrected_Wells'!H135,'Corrected_Wells'!H160,'Corrected_Wells'!H161)</x:f>
        <x:v>26.985</x:v>
      </x:c>
      <x:c r="I41" s="10" t="n">
        <x:f>STDEV.S('Corrected_Wells'!H158,'Corrected_Wells'!H135,'Corrected_Wells'!H160,'Corrected_Wells'!H161)</x:f>
        <x:v>0.07937253933193811</x:v>
      </x:c>
      <x:c r="J41" s="10" t="n">
        <x:f>MAX('Corrected_Wells'!H158,'Corrected_Wells'!H135,'Corrected_Wells'!H160,'Corrected_Wells'!H161)-MIN('Corrected_Wells'!H158,'Corrected_Wells'!H135,'Corrected_Wells'!H160,'Corrected_Wells'!H161)</x:f>
        <x:v>0.17999999999999972</x:v>
      </x:c>
      <x:c r="K41" s="10" t="n">
        <x:f>AVERAGE('Corrected_Wells'!I158,'Corrected_Wells'!I135,'Corrected_Wells'!I160,'Corrected_Wells'!I161)</x:f>
        <x:v>78.3725</x:v>
      </x:c>
      <x:c r="L41" s="10" t="n">
        <x:f>MAX('Corrected_Wells'!I158,'Corrected_Wells'!I135,'Corrected_Wells'!I160,'Corrected_Wells'!I161)-MIN('Corrected_Wells'!I158,'Corrected_Wells'!I135,'Corrected_Wells'!I160,'Corrected_Wells'!I161)</x:f>
        <x:v>6.8799999999999955</x:v>
      </x:c>
      <x:c r="M41" s="10" t="str">
        <x:v>4</x:v>
      </x:c>
      <x:c r="N41" s="10" t="n">
        <x:v>0.98</x:v>
      </x:c>
      <x:c r="O41" t="str">
        <x:f>IF(G41&lt;'README_QC'!$B$16,"FAIL",IF(OR(I41&gt;'README_QC'!$B$14,L41&gt;'README_QC'!$B$15),"FAIL",IF(OR(I41&gt;'README_QC'!$B$13,P41&lt;&gt;""),"REVIEW","PASS")))</x:f>
        <x:v>FAIL</x:v>
      </x:c>
      <x:c r="P41" s="15" t="str">
        <x:v>Tm复孔范围&gt;0.50°C；检测到第二熔解峰；列14已重映射</x:v>
      </x:c>
    </x:row>
    <x:row r="42">
      <x:c r="A42" t="str">
        <x:v>siFBN2-3</x:v>
      </x:c>
      <x:c r="B42" t="str">
        <x:v>ZNF436-1</x:v>
      </x:c>
      <x:c r="C42" t="str">
        <x:v>I17</x:v>
      </x:c>
      <x:c r="D42" t="str">
        <x:v>I18</x:v>
      </x:c>
      <x:c r="E42" t="str">
        <x:v>I19</x:v>
      </x:c>
      <x:c r="F42" t="str">
        <x:v>I20</x:v>
      </x:c>
      <x:c r="G42" t="n">
        <x:v>4</x:v>
      </x:c>
      <x:c r="H42" s="10" t="n">
        <x:f>AVERAGE('Corrected_Wells'!H162,'Corrected_Wells'!H163,'Corrected_Wells'!H164,'Corrected_Wells'!H165)</x:f>
        <x:v>27.259999999999998</x:v>
      </x:c>
      <x:c r="I42" s="10" t="n">
        <x:f>STDEV.S('Corrected_Wells'!H162,'Corrected_Wells'!H163,'Corrected_Wells'!H164,'Corrected_Wells'!H165)</x:f>
        <x:v>0.1614517471774975</x:v>
      </x:c>
      <x:c r="J42" s="10" t="n">
        <x:f>MAX('Corrected_Wells'!H162,'Corrected_Wells'!H163,'Corrected_Wells'!H164,'Corrected_Wells'!H165)-MIN('Corrected_Wells'!H162,'Corrected_Wells'!H163,'Corrected_Wells'!H164,'Corrected_Wells'!H165)</x:f>
        <x:v>0.35999999999999943</x:v>
      </x:c>
      <x:c r="K42" s="10" t="n">
        <x:f>AVERAGE('Corrected_Wells'!I162,'Corrected_Wells'!I163,'Corrected_Wells'!I164,'Corrected_Wells'!I165)</x:f>
        <x:v>77.91499999999999</x:v>
      </x:c>
      <x:c r="L42" s="10" t="n">
        <x:f>MAX('Corrected_Wells'!I162,'Corrected_Wells'!I163,'Corrected_Wells'!I164,'Corrected_Wells'!I165)-MIN('Corrected_Wells'!I162,'Corrected_Wells'!I163,'Corrected_Wells'!I164,'Corrected_Wells'!I165)</x:f>
        <x:v>0.19999999999998863</x:v>
      </x:c>
      <x:c r="M42" s="10" t="str">
        <x:v>2</x:v>
      </x:c>
      <x:c r="N42" s="10" t="n">
        <x:v>0.98</x:v>
      </x:c>
      <x:c r="O42" t="str">
        <x:f>IF(G42&lt;'README_QC'!$B$16,"FAIL",IF(OR(I42&gt;'README_QC'!$B$14,L42&gt;'README_QC'!$B$15),"FAIL",IF(OR(I42&gt;'README_QC'!$B$13,P42&lt;&gt;""),"REVIEW","PASS")))</x:f>
        <x:v>PASS</x:v>
      </x:c>
      <x:c r="P42" s="15" t="str"/>
    </x:row>
    <x:row r="43">
      <x:c r="A43" t="str">
        <x:v>siFBN2-3</x:v>
      </x:c>
      <x:c r="B43" t="str">
        <x:v>ZNF436-2</x:v>
      </x:c>
      <x:c r="C43" t="str">
        <x:v>I21</x:v>
      </x:c>
      <x:c r="D43" t="str">
        <x:v>I22</x:v>
      </x:c>
      <x:c r="E43" t="str">
        <x:v>I23</x:v>
      </x:c>
      <x:c r="F43" t="str">
        <x:v>I24</x:v>
      </x:c>
      <x:c r="G43" t="n">
        <x:v>4</x:v>
      </x:c>
      <x:c r="H43" s="10" t="n">
        <x:f>AVERAGE('Corrected_Wells'!H166,'Corrected_Wells'!H167,'Corrected_Wells'!H168,'Corrected_Wells'!H169)</x:f>
        <x:v>25.785000000000004</x:v>
      </x:c>
      <x:c r="I43" s="10" t="n">
        <x:f>STDEV.S('Corrected_Wells'!H166,'Corrected_Wells'!H167,'Corrected_Wells'!H168,'Corrected_Wells'!H169)</x:f>
        <x:v>0.07505553499465203</x:v>
      </x:c>
      <x:c r="J43" s="10" t="n">
        <x:f>MAX('Corrected_Wells'!H166,'Corrected_Wells'!H167,'Corrected_Wells'!H168,'Corrected_Wells'!H169)-MIN('Corrected_Wells'!H166,'Corrected_Wells'!H167,'Corrected_Wells'!H168,'Corrected_Wells'!H169)</x:f>
        <x:v>0.1700000000000017</x:v>
      </x:c>
      <x:c r="K43" s="10" t="n">
        <x:f>AVERAGE('Corrected_Wells'!I166,'Corrected_Wells'!I167,'Corrected_Wells'!I168,'Corrected_Wells'!I169)</x:f>
        <x:v>73.16749999999999</x:v>
      </x:c>
      <x:c r="L43" s="10" t="n">
        <x:f>MAX('Corrected_Wells'!I166,'Corrected_Wells'!I167,'Corrected_Wells'!I168,'Corrected_Wells'!I169)-MIN('Corrected_Wells'!I166,'Corrected_Wells'!I167,'Corrected_Wells'!I168,'Corrected_Wells'!I169)</x:f>
        <x:v>0.13000000000000966</x:v>
      </x:c>
      <x:c r="M43" s="10" t="str">
        <x:v>3</x:v>
      </x:c>
      <x:c r="N43" s="10" t="n">
        <x:v>0.985</x:v>
      </x:c>
      <x:c r="O43" t="str">
        <x:f>IF(G43&lt;'README_QC'!$B$16,"FAIL",IF(OR(I43&gt;'README_QC'!$B$14,L43&gt;'README_QC'!$B$15),"FAIL",IF(OR(I43&gt;'README_QC'!$B$13,P43&lt;&gt;""),"REVIEW","PASS")))</x:f>
        <x:v>PASS</x:v>
      </x:c>
      <x:c r="P43" s="15" t="str"/>
    </x:row>
    <x:row r="44">
      <x:c r="A44" t="str">
        <x:v>siFBN2-4</x:v>
      </x:c>
      <x:c r="B44" t="str">
        <x:v>GAPDH</x:v>
      </x:c>
      <x:c r="C44" t="str">
        <x:v>K1</x:v>
      </x:c>
      <x:c r="D44" t="str">
        <x:v>K2</x:v>
      </x:c>
      <x:c r="E44" t="str">
        <x:v>K3</x:v>
      </x:c>
      <x:c r="F44" t="str">
        <x:v>K4</x:v>
      </x:c>
      <x:c r="G44" t="n">
        <x:v>4</x:v>
      </x:c>
      <x:c r="H44" s="10" t="n">
        <x:f>AVERAGE('Corrected_Wells'!H170,'Corrected_Wells'!H171,'Corrected_Wells'!H172,'Corrected_Wells'!H173)</x:f>
        <x:v>16.145</x:v>
      </x:c>
      <x:c r="I44" s="10" t="n">
        <x:f>STDEV.S('Corrected_Wells'!H170,'Corrected_Wells'!H171,'Corrected_Wells'!H172,'Corrected_Wells'!H173)</x:f>
        <x:v>0.043588989435406754</x:v>
      </x:c>
      <x:c r="J44" s="10" t="n">
        <x:f>MAX('Corrected_Wells'!H170,'Corrected_Wells'!H171,'Corrected_Wells'!H172,'Corrected_Wells'!H173)-MIN('Corrected_Wells'!H170,'Corrected_Wells'!H171,'Corrected_Wells'!H172,'Corrected_Wells'!H173)</x:f>
        <x:v>0.08999999999999986</x:v>
      </x:c>
      <x:c r="K44" s="10" t="n">
        <x:f>AVERAGE('Corrected_Wells'!I170,'Corrected_Wells'!I171,'Corrected_Wells'!I172,'Corrected_Wells'!I173)</x:f>
        <x:v>86.0175</x:v>
      </x:c>
      <x:c r="L44" s="10" t="n">
        <x:f>MAX('Corrected_Wells'!I170,'Corrected_Wells'!I171,'Corrected_Wells'!I172,'Corrected_Wells'!I173)-MIN('Corrected_Wells'!I170,'Corrected_Wells'!I171,'Corrected_Wells'!I172,'Corrected_Wells'!I173)</x:f>
        <x:v>0.009999999999990905</x:v>
      </x:c>
      <x:c r="M44" s="10" t="str">
        <x:v>1</x:v>
      </x:c>
      <x:c r="N44" s="10" t="n">
        <x:v>0.8925</x:v>
      </x:c>
      <x:c r="O44" t="str">
        <x:f>IF(G44&lt;'README_QC'!$B$16,"FAIL",IF(OR(I44&gt;'README_QC'!$B$14,L44&gt;'README_QC'!$B$15),"FAIL",IF(OR(I44&gt;'README_QC'!$B$13,P44&lt;&gt;""),"REVIEW","PASS")))</x:f>
        <x:v>PASS</x:v>
      </x:c>
      <x:c r="P44" s="15" t="str"/>
    </x:row>
    <x:row r="45">
      <x:c r="A45" t="str">
        <x:v>siFBN2-4</x:v>
      </x:c>
      <x:c r="B45" t="str">
        <x:v>TBP</x:v>
      </x:c>
      <x:c r="C45" t="str">
        <x:v>K5</x:v>
      </x:c>
      <x:c r="D45" t="str">
        <x:v>K6</x:v>
      </x:c>
      <x:c r="E45" t="str">
        <x:v>K7</x:v>
      </x:c>
      <x:c r="F45" t="str">
        <x:v>K8</x:v>
      </x:c>
      <x:c r="G45" t="n">
        <x:v>4</x:v>
      </x:c>
      <x:c r="H45" s="10" t="n">
        <x:f>AVERAGE('Corrected_Wells'!H174,'Corrected_Wells'!H175,'Corrected_Wells'!H176,'Corrected_Wells'!H177)</x:f>
        <x:v>25.1175</x:v>
      </x:c>
      <x:c r="I45" s="10" t="n">
        <x:f>STDEV.S('Corrected_Wells'!H174,'Corrected_Wells'!H175,'Corrected_Wells'!H176,'Corrected_Wells'!H177)</x:f>
        <x:v>0.06238322424071003</x:v>
      </x:c>
      <x:c r="J45" s="10" t="n">
        <x:f>MAX('Corrected_Wells'!H174,'Corrected_Wells'!H175,'Corrected_Wells'!H176,'Corrected_Wells'!H177)-MIN('Corrected_Wells'!H174,'Corrected_Wells'!H175,'Corrected_Wells'!H176,'Corrected_Wells'!H177)</x:f>
        <x:v>0.14000000000000057</x:v>
      </x:c>
      <x:c r="K45" s="10" t="n">
        <x:f>AVERAGE('Corrected_Wells'!I174,'Corrected_Wells'!I175,'Corrected_Wells'!I176,'Corrected_Wells'!I177)</x:f>
        <x:v>80.3075</x:v>
      </x:c>
      <x:c r="L45" s="10" t="n">
        <x:f>MAX('Corrected_Wells'!I174,'Corrected_Wells'!I175,'Corrected_Wells'!I176,'Corrected_Wells'!I177)-MIN('Corrected_Wells'!I174,'Corrected_Wells'!I175,'Corrected_Wells'!I176,'Corrected_Wells'!I177)</x:f>
        <x:v>0.04999999999999716</x:v>
      </x:c>
      <x:c r="M45" s="10" t="str">
        <x:v>1</x:v>
      </x:c>
      <x:c r="N45" s="10" t="n">
        <x:v>0.9850000000000001</x:v>
      </x:c>
      <x:c r="O45" t="str">
        <x:f>IF(G45&lt;'README_QC'!$B$16,"FAIL",IF(OR(I45&gt;'README_QC'!$B$14,L45&gt;'README_QC'!$B$15),"FAIL",IF(OR(I45&gt;'README_QC'!$B$13,P45&lt;&gt;""),"REVIEW","PASS")))</x:f>
        <x:v>PASS</x:v>
      </x:c>
      <x:c r="P45" s="15" t="str"/>
    </x:row>
    <x:row r="46">
      <x:c r="A46" t="str">
        <x:v>siFBN2-4</x:v>
      </x:c>
      <x:c r="B46" t="str">
        <x:v>FBN2-1</x:v>
      </x:c>
      <x:c r="C46" t="str">
        <x:v>K9</x:v>
      </x:c>
      <x:c r="D46" t="str">
        <x:v>K10</x:v>
      </x:c>
      <x:c r="E46" t="str">
        <x:v>K11</x:v>
      </x:c>
      <x:c r="F46" t="str">
        <x:v>K12</x:v>
      </x:c>
      <x:c r="G46" t="n">
        <x:v>4</x:v>
      </x:c>
      <x:c r="H46" s="10" t="n">
        <x:f>AVERAGE('Corrected_Wells'!H178,'Corrected_Wells'!H179,'Corrected_Wells'!H180,'Corrected_Wells'!H181)</x:f>
        <x:v>26.935</x:v>
      </x:c>
      <x:c r="I46" s="10" t="n">
        <x:f>STDEV.S('Corrected_Wells'!H178,'Corrected_Wells'!H179,'Corrected_Wells'!H180,'Corrected_Wells'!H181)</x:f>
        <x:v>0.14387494569938214</x:v>
      </x:c>
      <x:c r="J46" s="10" t="n">
        <x:f>MAX('Corrected_Wells'!H178,'Corrected_Wells'!H179,'Corrected_Wells'!H180,'Corrected_Wells'!H181)-MIN('Corrected_Wells'!H178,'Corrected_Wells'!H179,'Corrected_Wells'!H180,'Corrected_Wells'!H181)</x:f>
        <x:v>0.3000000000000007</x:v>
      </x:c>
      <x:c r="K46" s="10" t="n">
        <x:f>AVERAGE('Corrected_Wells'!I178,'Corrected_Wells'!I179,'Corrected_Wells'!I180,'Corrected_Wells'!I181)</x:f>
        <x:v>78.91000000000001</x:v>
      </x:c>
      <x:c r="L46" s="10" t="n">
        <x:f>MAX('Corrected_Wells'!I178,'Corrected_Wells'!I179,'Corrected_Wells'!I180,'Corrected_Wells'!I181)-MIN('Corrected_Wells'!I178,'Corrected_Wells'!I179,'Corrected_Wells'!I180,'Corrected_Wells'!I181)</x:f>
        <x:v>0.29000000000000625</x:v>
      </x:c>
      <x:c r="M46" s="10" t="str">
        <x:v>2</x:v>
      </x:c>
      <x:c r="N46" s="10" t="n">
        <x:v>0.96</x:v>
      </x:c>
      <x:c r="O46" t="str">
        <x:f>IF(G46&lt;'README_QC'!$B$16,"FAIL",IF(OR(I46&gt;'README_QC'!$B$14,L46&gt;'README_QC'!$B$15),"FAIL",IF(OR(I46&gt;'README_QC'!$B$13,P46&lt;&gt;""),"REVIEW","PASS")))</x:f>
        <x:v>REVIEW</x:v>
      </x:c>
      <x:c r="P46" s="15" t="str">
        <x:v>列10人工备注</x:v>
      </x:c>
    </x:row>
    <x:row r="47">
      <x:c r="A47" t="str">
        <x:v>siFBN2-4</x:v>
      </x:c>
      <x:c r="B47" t="str">
        <x:v>FBN2-2</x:v>
      </x:c>
      <x:c r="C47" t="str">
        <x:v>K13</x:v>
      </x:c>
      <x:c r="D47" t="str">
        <x:v>I14</x:v>
      </x:c>
      <x:c r="E47" t="str">
        <x:v>K15</x:v>
      </x:c>
      <x:c r="F47" t="str">
        <x:v>K16</x:v>
      </x:c>
      <x:c r="G47" t="n">
        <x:v>4</x:v>
      </x:c>
      <x:c r="H47" s="10" t="n">
        <x:f>AVERAGE('Corrected_Wells'!H182,'Corrected_Wells'!H159,'Corrected_Wells'!H184,'Corrected_Wells'!H185)</x:f>
        <x:v>27.187499999999996</x:v>
      </x:c>
      <x:c r="I47" s="10" t="n">
        <x:f>STDEV.S('Corrected_Wells'!H182,'Corrected_Wells'!H159,'Corrected_Wells'!H184,'Corrected_Wells'!H185)</x:f>
        <x:v>0.10144785195688844</x:v>
      </x:c>
      <x:c r="J47" s="10" t="n">
        <x:f>MAX('Corrected_Wells'!H182,'Corrected_Wells'!H159,'Corrected_Wells'!H184,'Corrected_Wells'!H185)-MIN('Corrected_Wells'!H182,'Corrected_Wells'!H159,'Corrected_Wells'!H184,'Corrected_Wells'!H185)</x:f>
        <x:v>0.23000000000000043</x:v>
      </x:c>
      <x:c r="K47" s="10" t="n">
        <x:f>AVERAGE('Corrected_Wells'!I182,'Corrected_Wells'!I159,'Corrected_Wells'!I184,'Corrected_Wells'!I185)</x:f>
        <x:v>75.66</x:v>
      </x:c>
      <x:c r="L47" s="10" t="n">
        <x:f>MAX('Corrected_Wells'!I182,'Corrected_Wells'!I159,'Corrected_Wells'!I184,'Corrected_Wells'!I185)-MIN('Corrected_Wells'!I182,'Corrected_Wells'!I159,'Corrected_Wells'!I184,'Corrected_Wells'!I185)</x:f>
        <x:v>0.7999999999999972</x:v>
      </x:c>
      <x:c r="M47" s="10" t="str">
        <x:v>4</x:v>
      </x:c>
      <x:c r="N47" s="10" t="n">
        <x:v>0.9775</x:v>
      </x:c>
      <x:c r="O47" t="str">
        <x:f>IF(G47&lt;'README_QC'!$B$16,"FAIL",IF(OR(I47&gt;'README_QC'!$B$14,L47&gt;'README_QC'!$B$15),"FAIL",IF(OR(I47&gt;'README_QC'!$B$13,P47&lt;&gt;""),"REVIEW","PASS")))</x:f>
        <x:v>FAIL</x:v>
      </x:c>
      <x:c r="P47" s="15" t="str">
        <x:v>Tm复孔范围&gt;0.50°C；检测到第二熔解峰；列14已重映射</x:v>
      </x:c>
    </x:row>
    <x:row r="48">
      <x:c r="A48" t="str">
        <x:v>siFBN2-4</x:v>
      </x:c>
      <x:c r="B48" t="str">
        <x:v>ZNF436-1</x:v>
      </x:c>
      <x:c r="C48" t="str">
        <x:v>K17</x:v>
      </x:c>
      <x:c r="D48" t="str">
        <x:v>K18</x:v>
      </x:c>
      <x:c r="E48" t="str">
        <x:v>K19</x:v>
      </x:c>
      <x:c r="F48" t="str">
        <x:v>K20</x:v>
      </x:c>
      <x:c r="G48" t="n">
        <x:v>4</x:v>
      </x:c>
      <x:c r="H48" s="10" t="n">
        <x:f>AVERAGE('Corrected_Wells'!H186,'Corrected_Wells'!H187,'Corrected_Wells'!H188,'Corrected_Wells'!H189)</x:f>
        <x:v>27.5425</x:v>
      </x:c>
      <x:c r="I48" s="10" t="n">
        <x:f>STDEV.S('Corrected_Wells'!H186,'Corrected_Wells'!H187,'Corrected_Wells'!H188,'Corrected_Wells'!H189)</x:f>
        <x:v>0.09287087810503439</x:v>
      </x:c>
      <x:c r="J48" s="10" t="n">
        <x:f>MAX('Corrected_Wells'!H186,'Corrected_Wells'!H187,'Corrected_Wells'!H188,'Corrected_Wells'!H189)-MIN('Corrected_Wells'!H186,'Corrected_Wells'!H187,'Corrected_Wells'!H188,'Corrected_Wells'!H189)</x:f>
        <x:v>0.21000000000000085</x:v>
      </x:c>
      <x:c r="K48" s="10" t="n">
        <x:f>AVERAGE('Corrected_Wells'!I186,'Corrected_Wells'!I187,'Corrected_Wells'!I188,'Corrected_Wells'!I189)</x:f>
        <x:v>77.8425</x:v>
      </x:c>
      <x:c r="L48" s="10" t="n">
        <x:f>MAX('Corrected_Wells'!I186,'Corrected_Wells'!I187,'Corrected_Wells'!I188,'Corrected_Wells'!I189)-MIN('Corrected_Wells'!I186,'Corrected_Wells'!I187,'Corrected_Wells'!I188,'Corrected_Wells'!I189)</x:f>
        <x:v>0.23999999999999488</x:v>
      </x:c>
      <x:c r="M48" s="10" t="str">
        <x:v>2</x:v>
      </x:c>
      <x:c r="N48" s="10" t="n">
        <x:v>0.9575</x:v>
      </x:c>
      <x:c r="O48" t="str">
        <x:f>IF(G48&lt;'README_QC'!$B$16,"FAIL",IF(OR(I48&gt;'README_QC'!$B$14,L48&gt;'README_QC'!$B$15),"FAIL",IF(OR(I48&gt;'README_QC'!$B$13,P48&lt;&gt;""),"REVIEW","PASS")))</x:f>
        <x:v>PASS</x:v>
      </x:c>
      <x:c r="P48" s="15" t="str"/>
    </x:row>
    <x:row r="49">
      <x:c r="A49" t="str">
        <x:v>siFBN2-4</x:v>
      </x:c>
      <x:c r="B49" t="str">
        <x:v>ZNF436-2</x:v>
      </x:c>
      <x:c r="C49" t="str">
        <x:v>K21</x:v>
      </x:c>
      <x:c r="D49" t="str">
        <x:v>K22</x:v>
      </x:c>
      <x:c r="E49" t="str">
        <x:v>K23</x:v>
      </x:c>
      <x:c r="F49" t="str">
        <x:v>K24</x:v>
      </x:c>
      <x:c r="G49" t="n">
        <x:v>4</x:v>
      </x:c>
      <x:c r="H49" s="10" t="n">
        <x:f>AVERAGE('Corrected_Wells'!H190,'Corrected_Wells'!H191,'Corrected_Wells'!H192,'Corrected_Wells'!H193)</x:f>
        <x:v>25.4775</x:v>
      </x:c>
      <x:c r="I49" s="10" t="n">
        <x:f>STDEV.S('Corrected_Wells'!H190,'Corrected_Wells'!H191,'Corrected_Wells'!H192,'Corrected_Wells'!H193)</x:f>
        <x:v>0.09178779875342925</x:v>
      </x:c>
      <x:c r="J49" s="10" t="n">
        <x:f>MAX('Corrected_Wells'!H190,'Corrected_Wells'!H191,'Corrected_Wells'!H192,'Corrected_Wells'!H193)-MIN('Corrected_Wells'!H190,'Corrected_Wells'!H191,'Corrected_Wells'!H192,'Corrected_Wells'!H193)</x:f>
        <x:v>0.19000000000000128</x:v>
      </x:c>
      <x:c r="K49" s="10" t="n">
        <x:f>AVERAGE('Corrected_Wells'!I190,'Corrected_Wells'!I191,'Corrected_Wells'!I192,'Corrected_Wells'!I193)</x:f>
        <x:v>73.20500000000001</x:v>
      </x:c>
      <x:c r="L49" s="10" t="n">
        <x:f>MAX('Corrected_Wells'!I190,'Corrected_Wells'!I191,'Corrected_Wells'!I192,'Corrected_Wells'!I193)-MIN('Corrected_Wells'!I190,'Corrected_Wells'!I191,'Corrected_Wells'!I192,'Corrected_Wells'!I193)</x:f>
        <x:v>0.12999999999999545</x:v>
      </x:c>
      <x:c r="M49" s="10" t="str">
        <x:v>3</x:v>
      </x:c>
      <x:c r="N49" s="10" t="n">
        <x:v>0.9924999999999999</x:v>
      </x:c>
      <x:c r="O49" t="str">
        <x:f>IF(G49&lt;'README_QC'!$B$16,"FAIL",IF(OR(I49&gt;'README_QC'!$B$14,L49&gt;'README_QC'!$B$15),"FAIL",IF(OR(I49&gt;'README_QC'!$B$13,P49&lt;&gt;""),"REVIEW","PASS")))</x:f>
        <x:v>PASS</x:v>
      </x:c>
      <x:c r="P49" s="15" t="str"/>
    </x:row>
    <x:row r="50">
      <x:c r="A50" t="str">
        <x:v>siZNF436-1</x:v>
      </x:c>
      <x:c r="B50" t="str">
        <x:v>GAPDH</x:v>
      </x:c>
      <x:c r="C50" t="str">
        <x:v>M1</x:v>
      </x:c>
      <x:c r="D50" t="str">
        <x:v>M2</x:v>
      </x:c>
      <x:c r="E50" t="str">
        <x:v>M3</x:v>
      </x:c>
      <x:c r="F50" t="str">
        <x:v>M4</x:v>
      </x:c>
      <x:c r="G50" t="n">
        <x:v>4</x:v>
      </x:c>
      <x:c r="H50" s="10" t="n">
        <x:f>AVERAGE('Corrected_Wells'!H194,'Corrected_Wells'!H195,'Corrected_Wells'!H196,'Corrected_Wells'!H197)</x:f>
        <x:v>16</x:v>
      </x:c>
      <x:c r="I50" s="10" t="n">
        <x:f>STDEV.S('Corrected_Wells'!H194,'Corrected_Wells'!H195,'Corrected_Wells'!H196,'Corrected_Wells'!H197)</x:f>
        <x:v>0.033665016461206385</x:v>
      </x:c>
      <x:c r="J50" s="10" t="n">
        <x:f>MAX('Corrected_Wells'!H194,'Corrected_Wells'!H195,'Corrected_Wells'!H196,'Corrected_Wells'!H197)-MIN('Corrected_Wells'!H194,'Corrected_Wells'!H195,'Corrected_Wells'!H196,'Corrected_Wells'!H197)</x:f>
        <x:v>0.0799999999999983</x:v>
      </x:c>
      <x:c r="K50" s="10" t="n">
        <x:f>AVERAGE('Corrected_Wells'!I194,'Corrected_Wells'!I195,'Corrected_Wells'!I196,'Corrected_Wells'!I197)</x:f>
        <x:v>86.0575</x:v>
      </x:c>
      <x:c r="L50" s="10" t="n">
        <x:f>MAX('Corrected_Wells'!I194,'Corrected_Wells'!I195,'Corrected_Wells'!I196,'Corrected_Wells'!I197)-MIN('Corrected_Wells'!I194,'Corrected_Wells'!I195,'Corrected_Wells'!I196,'Corrected_Wells'!I197)</x:f>
        <x:v>0.03999999999999204</x:v>
      </x:c>
      <x:c r="M50" s="10" t="str">
        <x:v>1</x:v>
      </x:c>
      <x:c r="N50" s="10" t="n">
        <x:v>0.8825000000000001</x:v>
      </x:c>
      <x:c r="O50" t="str">
        <x:f>IF(G50&lt;'README_QC'!$B$16,"FAIL",IF(OR(I50&gt;'README_QC'!$B$14,L50&gt;'README_QC'!$B$15),"FAIL",IF(OR(I50&gt;'README_QC'!$B$13,P50&lt;&gt;""),"REVIEW","PASS")))</x:f>
        <x:v>PASS</x:v>
      </x:c>
      <x:c r="P50" s="15" t="str"/>
    </x:row>
    <x:row r="51">
      <x:c r="A51" t="str">
        <x:v>siZNF436-1</x:v>
      </x:c>
      <x:c r="B51" t="str">
        <x:v>TBP</x:v>
      </x:c>
      <x:c r="C51" t="str">
        <x:v>M5</x:v>
      </x:c>
      <x:c r="D51" t="str">
        <x:v>M6</x:v>
      </x:c>
      <x:c r="E51" t="str">
        <x:v>M7</x:v>
      </x:c>
      <x:c r="F51" t="str">
        <x:v>M8</x:v>
      </x:c>
      <x:c r="G51" t="n">
        <x:v>4</x:v>
      </x:c>
      <x:c r="H51" s="10" t="n">
        <x:f>AVERAGE('Corrected_Wells'!H198,'Corrected_Wells'!H199,'Corrected_Wells'!H200,'Corrected_Wells'!H201)</x:f>
        <x:v>24.79</x:v>
      </x:c>
      <x:c r="I51" s="10" t="n">
        <x:f>STDEV.S('Corrected_Wells'!H198,'Corrected_Wells'!H199,'Corrected_Wells'!H200,'Corrected_Wells'!H201)</x:f>
        <x:v>0.18867962264113253</x:v>
      </x:c>
      <x:c r="J51" s="10" t="n">
        <x:f>MAX('Corrected_Wells'!H198,'Corrected_Wells'!H199,'Corrected_Wells'!H200,'Corrected_Wells'!H201)-MIN('Corrected_Wells'!H198,'Corrected_Wells'!H199,'Corrected_Wells'!H200,'Corrected_Wells'!H201)</x:f>
        <x:v>0.4400000000000013</x:v>
      </x:c>
      <x:c r="K51" s="10" t="n">
        <x:f>AVERAGE('Corrected_Wells'!I198,'Corrected_Wells'!I199,'Corrected_Wells'!I200,'Corrected_Wells'!I201)</x:f>
        <x:v>80.29750000000001</x:v>
      </x:c>
      <x:c r="L51" s="10" t="n">
        <x:f>MAX('Corrected_Wells'!I198,'Corrected_Wells'!I199,'Corrected_Wells'!I200,'Corrected_Wells'!I201)-MIN('Corrected_Wells'!I198,'Corrected_Wells'!I199,'Corrected_Wells'!I200,'Corrected_Wells'!I201)</x:f>
        <x:v>0.01999999999999602</x:v>
      </x:c>
      <x:c r="M51" s="10" t="str">
        <x:v>1</x:v>
      </x:c>
      <x:c r="N51" s="10" t="n">
        <x:v>0.9850000000000001</x:v>
      </x:c>
      <x:c r="O51" t="str">
        <x:f>IF(G51&lt;'README_QC'!$B$16,"FAIL",IF(OR(I51&gt;'README_QC'!$B$14,L51&gt;'README_QC'!$B$15),"FAIL",IF(OR(I51&gt;'README_QC'!$B$13,P51&lt;&gt;""),"REVIEW","PASS")))</x:f>
        <x:v>PASS</x:v>
      </x:c>
      <x:c r="P51" s="15" t="str"/>
    </x:row>
    <x:row r="52">
      <x:c r="A52" t="str">
        <x:v>siZNF436-1</x:v>
      </x:c>
      <x:c r="B52" t="str">
        <x:v>FBN2-1</x:v>
      </x:c>
      <x:c r="C52" t="str">
        <x:v>M9</x:v>
      </x:c>
      <x:c r="D52" t="str">
        <x:v>M10</x:v>
      </x:c>
      <x:c r="E52" t="str">
        <x:v>M11</x:v>
      </x:c>
      <x:c r="F52" t="str">
        <x:v>M12</x:v>
      </x:c>
      <x:c r="G52" t="n">
        <x:v>4</x:v>
      </x:c>
      <x:c r="H52" s="10" t="n">
        <x:f>AVERAGE('Corrected_Wells'!H202,'Corrected_Wells'!H203,'Corrected_Wells'!H204,'Corrected_Wells'!H205)</x:f>
        <x:v>23.655</x:v>
      </x:c>
      <x:c r="I52" s="10" t="n">
        <x:f>STDEV.S('Corrected_Wells'!H202,'Corrected_Wells'!H203,'Corrected_Wells'!H204,'Corrected_Wells'!H205)</x:f>
        <x:v>0.07549834435270754</x:v>
      </x:c>
      <x:c r="J52" s="10" t="n">
        <x:f>MAX('Corrected_Wells'!H202,'Corrected_Wells'!H203,'Corrected_Wells'!H204,'Corrected_Wells'!H205)-MIN('Corrected_Wells'!H202,'Corrected_Wells'!H203,'Corrected_Wells'!H204,'Corrected_Wells'!H205)</x:f>
        <x:v>0.17999999999999972</x:v>
      </x:c>
      <x:c r="K52" s="10" t="n">
        <x:f>AVERAGE('Corrected_Wells'!I202,'Corrected_Wells'!I203,'Corrected_Wells'!I204,'Corrected_Wells'!I205)</x:f>
        <x:v>79.3125</x:v>
      </x:c>
      <x:c r="L52" s="10" t="n">
        <x:f>MAX('Corrected_Wells'!I202,'Corrected_Wells'!I203,'Corrected_Wells'!I204,'Corrected_Wells'!I205)-MIN('Corrected_Wells'!I202,'Corrected_Wells'!I203,'Corrected_Wells'!I204,'Corrected_Wells'!I205)</x:f>
        <x:v>0.09999999999999432</x:v>
      </x:c>
      <x:c r="M52" s="10" t="str">
        <x:v>2</x:v>
      </x:c>
      <x:c r="N52" s="10" t="n">
        <x:v>0.98</x:v>
      </x:c>
      <x:c r="O52" t="str">
        <x:f>IF(G52&lt;'README_QC'!$B$16,"FAIL",IF(OR(I52&gt;'README_QC'!$B$14,L52&gt;'README_QC'!$B$15),"FAIL",IF(OR(I52&gt;'README_QC'!$B$13,P52&lt;&gt;""),"REVIEW","PASS")))</x:f>
        <x:v>REVIEW</x:v>
      </x:c>
      <x:c r="P52" s="15" t="str">
        <x:v>列10人工备注</x:v>
      </x:c>
    </x:row>
    <x:row r="53">
      <x:c r="A53" t="str">
        <x:v>siZNF436-1</x:v>
      </x:c>
      <x:c r="B53" t="str">
        <x:v>FBN2-2</x:v>
      </x:c>
      <x:c r="C53" t="str">
        <x:v>M13</x:v>
      </x:c>
      <x:c r="D53" t="str">
        <x:v>K14</x:v>
      </x:c>
      <x:c r="E53" t="str">
        <x:v>M15</x:v>
      </x:c>
      <x:c r="F53" t="str">
        <x:v>M16</x:v>
      </x:c>
      <x:c r="G53" t="n">
        <x:v>4</x:v>
      </x:c>
      <x:c r="H53" s="10" t="n">
        <x:f>AVERAGE('Corrected_Wells'!H206,'Corrected_Wells'!H183,'Corrected_Wells'!H208,'Corrected_Wells'!H209)</x:f>
        <x:v>23.6325</x:v>
      </x:c>
      <x:c r="I53" s="10" t="n">
        <x:f>STDEV.S('Corrected_Wells'!H206,'Corrected_Wells'!H183,'Corrected_Wells'!H208,'Corrected_Wells'!H209)</x:f>
        <x:v>0.04573474244670679</x:v>
      </x:c>
      <x:c r="J53" s="10" t="n">
        <x:f>MAX('Corrected_Wells'!H206,'Corrected_Wells'!H183,'Corrected_Wells'!H208,'Corrected_Wells'!H209)-MIN('Corrected_Wells'!H206,'Corrected_Wells'!H183,'Corrected_Wells'!H208,'Corrected_Wells'!H209)</x:f>
        <x:v>0.09999999999999787</x:v>
      </x:c>
      <x:c r="K53" s="10" t="n">
        <x:f>AVERAGE('Corrected_Wells'!I206,'Corrected_Wells'!I183,'Corrected_Wells'!I208,'Corrected_Wells'!I209)</x:f>
        <x:v>83.61</x:v>
      </x:c>
      <x:c r="L53" s="10" t="n">
        <x:f>MAX('Corrected_Wells'!I206,'Corrected_Wells'!I183,'Corrected_Wells'!I208,'Corrected_Wells'!I209)-MIN('Corrected_Wells'!I206,'Corrected_Wells'!I183,'Corrected_Wells'!I208,'Corrected_Wells'!I209)</x:f>
        <x:v>0.13000000000000966</x:v>
      </x:c>
      <x:c r="M53" s="10" t="str">
        <x:v>1</x:v>
      </x:c>
      <x:c r="N53" s="10" t="n">
        <x:v>0.965</x:v>
      </x:c>
      <x:c r="O53" t="str">
        <x:f>IF(G53&lt;'README_QC'!$B$16,"FAIL",IF(OR(I53&gt;'README_QC'!$B$14,L53&gt;'README_QC'!$B$15),"FAIL",IF(OR(I53&gt;'README_QC'!$B$13,P53&lt;&gt;""),"REVIEW","PASS")))</x:f>
        <x:v>REVIEW</x:v>
      </x:c>
      <x:c r="P53" s="15" t="str">
        <x:v>列14已重映射</x:v>
      </x:c>
    </x:row>
    <x:row r="54">
      <x:c r="A54" t="str">
        <x:v>siZNF436-1</x:v>
      </x:c>
      <x:c r="B54" t="str">
        <x:v>ZNF436-1</x:v>
      </x:c>
      <x:c r="C54" t="str">
        <x:v>M17</x:v>
      </x:c>
      <x:c r="D54" t="str">
        <x:v>M18</x:v>
      </x:c>
      <x:c r="E54" t="str">
        <x:v>M19</x:v>
      </x:c>
      <x:c r="F54" t="str">
        <x:v>M20</x:v>
      </x:c>
      <x:c r="G54" t="n">
        <x:v>4</x:v>
      </x:c>
      <x:c r="H54" s="10" t="n">
        <x:f>AVERAGE('Corrected_Wells'!H210,'Corrected_Wells'!H211,'Corrected_Wells'!H212,'Corrected_Wells'!H213)</x:f>
        <x:v>30.102500000000003</x:v>
      </x:c>
      <x:c r="I54" s="10" t="n">
        <x:f>STDEV.S('Corrected_Wells'!H210,'Corrected_Wells'!H211,'Corrected_Wells'!H212,'Corrected_Wells'!H213)</x:f>
        <x:v>0.2988171124060109</x:v>
      </x:c>
      <x:c r="J54" s="10" t="n">
        <x:f>MAX('Corrected_Wells'!H210,'Corrected_Wells'!H211,'Corrected_Wells'!H212,'Corrected_Wells'!H213)-MIN('Corrected_Wells'!H210,'Corrected_Wells'!H211,'Corrected_Wells'!H212,'Corrected_Wells'!H213)</x:f>
        <x:v>0.6799999999999997</x:v>
      </x:c>
      <x:c r="K54" s="10" t="n">
        <x:f>AVERAGE('Corrected_Wells'!I210,'Corrected_Wells'!I211,'Corrected_Wells'!I212,'Corrected_Wells'!I213)</x:f>
        <x:v>75.58250000000001</x:v>
      </x:c>
      <x:c r="L54" s="10" t="n">
        <x:f>MAX('Corrected_Wells'!I210,'Corrected_Wells'!I211,'Corrected_Wells'!I212,'Corrected_Wells'!I213)-MIN('Corrected_Wells'!I210,'Corrected_Wells'!I211,'Corrected_Wells'!I212,'Corrected_Wells'!I213)</x:f>
        <x:v>1.7399999999999949</x:v>
      </x:c>
      <x:c r="M54" s="10" t="str">
        <x:v>Unknown;3</x:v>
      </x:c>
      <x:c r="N54" s="10" t="n">
        <x:v>0.71</x:v>
      </x:c>
      <x:c r="O54" t="str">
        <x:f>IF(G54&lt;'README_QC'!$B$16,"FAIL",IF(OR(I54&gt;'README_QC'!$B$14,L54&gt;'README_QC'!$B$15),"FAIL",IF(OR(I54&gt;'README_QC'!$B$13,P54&lt;&gt;""),"REVIEW","PASS")))</x:f>
        <x:v>FAIL</x:v>
      </x:c>
      <x:c r="P54" s="15" t="str">
        <x:v>Tm复孔范围&gt;0.50°C；熔解聚类不一致</x:v>
      </x:c>
    </x:row>
    <x:row r="55">
      <x:c r="A55" t="str">
        <x:v>siZNF436-1</x:v>
      </x:c>
      <x:c r="B55" t="str">
        <x:v>ZNF436-2</x:v>
      </x:c>
      <x:c r="C55" t="str">
        <x:v>M21</x:v>
      </x:c>
      <x:c r="D55" t="str">
        <x:v>M22</x:v>
      </x:c>
      <x:c r="E55" t="str">
        <x:v>M23</x:v>
      </x:c>
      <x:c r="F55" t="str">
        <x:v>M24</x:v>
      </x:c>
      <x:c r="G55" t="n">
        <x:v>4</x:v>
      </x:c>
      <x:c r="H55" s="10" t="n">
        <x:f>AVERAGE('Corrected_Wells'!H214,'Corrected_Wells'!H215,'Corrected_Wells'!H216,'Corrected_Wells'!H217)</x:f>
        <x:v>25.224999999999998</x:v>
      </x:c>
      <x:c r="I55" s="10" t="n">
        <x:f>STDEV.S('Corrected_Wells'!H214,'Corrected_Wells'!H215,'Corrected_Wells'!H216,'Corrected_Wells'!H217)</x:f>
        <x:v>0.023804761428475908</x:v>
      </x:c>
      <x:c r="J55" s="10" t="n">
        <x:f>MAX('Corrected_Wells'!H214,'Corrected_Wells'!H215,'Corrected_Wells'!H216,'Corrected_Wells'!H217)-MIN('Corrected_Wells'!H214,'Corrected_Wells'!H215,'Corrected_Wells'!H216,'Corrected_Wells'!H217)</x:f>
        <x:v>0.05000000000000071</x:v>
      </x:c>
      <x:c r="K55" s="10" t="n">
        <x:f>AVERAGE('Corrected_Wells'!I214,'Corrected_Wells'!I215,'Corrected_Wells'!I216,'Corrected_Wells'!I217)</x:f>
        <x:v>73.245</x:v>
      </x:c>
      <x:c r="L55" s="10" t="n">
        <x:f>MAX('Corrected_Wells'!I214,'Corrected_Wells'!I215,'Corrected_Wells'!I216,'Corrected_Wells'!I217)-MIN('Corrected_Wells'!I214,'Corrected_Wells'!I215,'Corrected_Wells'!I216,'Corrected_Wells'!I217)</x:f>
        <x:v>0.060000000000002274</x:v>
      </x:c>
      <x:c r="M55" s="10" t="str">
        <x:v>3</x:v>
      </x:c>
      <x:c r="N55" s="10" t="n">
        <x:v>0.99</x:v>
      </x:c>
      <x:c r="O55" t="str">
        <x:f>IF(G55&lt;'README_QC'!$B$16,"FAIL",IF(OR(I55&gt;'README_QC'!$B$14,L55&gt;'README_QC'!$B$15),"FAIL",IF(OR(I55&gt;'README_QC'!$B$13,P55&lt;&gt;""),"REVIEW","PASS")))</x:f>
        <x:v>PASS</x:v>
      </x:c>
      <x:c r="P55" s="15" t="str"/>
    </x:row>
    <x:row r="56">
      <x:c r="A56" t="str">
        <x:v>siZNF436-2</x:v>
      </x:c>
      <x:c r="B56" t="str">
        <x:v>GAPDH</x:v>
      </x:c>
      <x:c r="C56" t="str">
        <x:v>O1</x:v>
      </x:c>
      <x:c r="D56" t="str">
        <x:v>O2</x:v>
      </x:c>
      <x:c r="E56" t="str">
        <x:v>O3</x:v>
      </x:c>
      <x:c r="F56" t="str">
        <x:v>O4</x:v>
      </x:c>
      <x:c r="G56" t="n">
        <x:v>4</x:v>
      </x:c>
      <x:c r="H56" s="10" t="n">
        <x:f>AVERAGE('Corrected_Wells'!H218,'Corrected_Wells'!H219,'Corrected_Wells'!H220,'Corrected_Wells'!H221)</x:f>
        <x:v>16.0175</x:v>
      </x:c>
      <x:c r="I56" s="10" t="n">
        <x:f>STDEV.S('Corrected_Wells'!H218,'Corrected_Wells'!H219,'Corrected_Wells'!H220,'Corrected_Wells'!H221)</x:f>
        <x:v>0.04787135538781672</x:v>
      </x:c>
      <x:c r="J56" s="10" t="n">
        <x:f>MAX('Corrected_Wells'!H218,'Corrected_Wells'!H219,'Corrected_Wells'!H220,'Corrected_Wells'!H221)-MIN('Corrected_Wells'!H218,'Corrected_Wells'!H219,'Corrected_Wells'!H220,'Corrected_Wells'!H221)</x:f>
        <x:v>0.10999999999999943</x:v>
      </x:c>
      <x:c r="K56" s="10" t="n">
        <x:f>AVERAGE('Corrected_Wells'!I218,'Corrected_Wells'!I219,'Corrected_Wells'!I220,'Corrected_Wells'!I221)</x:f>
        <x:v>86.04749999999999</x:v>
      </x:c>
      <x:c r="L56" s="10" t="n">
        <x:f>MAX('Corrected_Wells'!I218,'Corrected_Wells'!I219,'Corrected_Wells'!I220,'Corrected_Wells'!I221)-MIN('Corrected_Wells'!I218,'Corrected_Wells'!I219,'Corrected_Wells'!I220,'Corrected_Wells'!I221)</x:f>
        <x:v>0.06999999999999318</x:v>
      </x:c>
      <x:c r="M56" s="10" t="str">
        <x:v>1</x:v>
      </x:c>
      <x:c r="N56" s="10" t="n">
        <x:v>0.885</x:v>
      </x:c>
      <x:c r="O56" t="str">
        <x:f>IF(G56&lt;'README_QC'!$B$16,"FAIL",IF(OR(I56&gt;'README_QC'!$B$14,L56&gt;'README_QC'!$B$15),"FAIL",IF(OR(I56&gt;'README_QC'!$B$13,P56&lt;&gt;""),"REVIEW","PASS")))</x:f>
        <x:v>PASS</x:v>
      </x:c>
      <x:c r="P56" s="15" t="str"/>
    </x:row>
    <x:row r="57">
      <x:c r="A57" t="str">
        <x:v>siZNF436-2</x:v>
      </x:c>
      <x:c r="B57" t="str">
        <x:v>TBP</x:v>
      </x:c>
      <x:c r="C57" t="str">
        <x:v>O5</x:v>
      </x:c>
      <x:c r="D57" t="str">
        <x:v>O6</x:v>
      </x:c>
      <x:c r="E57" t="str">
        <x:v>O7</x:v>
      </x:c>
      <x:c r="F57" t="str">
        <x:v>O8</x:v>
      </x:c>
      <x:c r="G57" t="n">
        <x:v>4</x:v>
      </x:c>
      <x:c r="H57" s="10" t="n">
        <x:f>AVERAGE('Corrected_Wells'!H222,'Corrected_Wells'!H223,'Corrected_Wells'!H224,'Corrected_Wells'!H225)</x:f>
        <x:v>24.974999999999998</x:v>
      </x:c>
      <x:c r="I57" s="10" t="n">
        <x:f>STDEV.S('Corrected_Wells'!H222,'Corrected_Wells'!H223,'Corrected_Wells'!H224,'Corrected_Wells'!H225)</x:f>
        <x:v>0.12449899597988738</x:v>
      </x:c>
      <x:c r="J57" s="10" t="n">
        <x:f>MAX('Corrected_Wells'!H222,'Corrected_Wells'!H223,'Corrected_Wells'!H224,'Corrected_Wells'!H225)-MIN('Corrected_Wells'!H222,'Corrected_Wells'!H223,'Corrected_Wells'!H224,'Corrected_Wells'!H225)</x:f>
        <x:v>0.28000000000000114</x:v>
      </x:c>
      <x:c r="K57" s="10" t="n">
        <x:f>AVERAGE('Corrected_Wells'!I222,'Corrected_Wells'!I223,'Corrected_Wells'!I224,'Corrected_Wells'!I225)</x:f>
        <x:v>80.275</x:v>
      </x:c>
      <x:c r="L57" s="10" t="n">
        <x:f>MAX('Corrected_Wells'!I222,'Corrected_Wells'!I223,'Corrected_Wells'!I224,'Corrected_Wells'!I225)-MIN('Corrected_Wells'!I222,'Corrected_Wells'!I223,'Corrected_Wells'!I224,'Corrected_Wells'!I225)</x:f>
        <x:v>0.14999999999999147</x:v>
      </x:c>
      <x:c r="M57" s="10" t="str">
        <x:v>1</x:v>
      </x:c>
      <x:c r="N57" s="10" t="n">
        <x:v>0.99</x:v>
      </x:c>
      <x:c r="O57" t="str">
        <x:f>IF(G57&lt;'README_QC'!$B$16,"FAIL",IF(OR(I57&gt;'README_QC'!$B$14,L57&gt;'README_QC'!$B$15),"FAIL",IF(OR(I57&gt;'README_QC'!$B$13,P57&lt;&gt;""),"REVIEW","PASS")))</x:f>
        <x:v>PASS</x:v>
      </x:c>
      <x:c r="P57" s="15" t="str"/>
    </x:row>
    <x:row r="58">
      <x:c r="A58" t="str">
        <x:v>siZNF436-2</x:v>
      </x:c>
      <x:c r="B58" t="str">
        <x:v>FBN2-1</x:v>
      </x:c>
      <x:c r="C58" t="str">
        <x:v>O9</x:v>
      </x:c>
      <x:c r="D58" t="str">
        <x:v>O10</x:v>
      </x:c>
      <x:c r="E58" t="str">
        <x:v>O11</x:v>
      </x:c>
      <x:c r="F58" t="str">
        <x:v>O12</x:v>
      </x:c>
      <x:c r="G58" t="n">
        <x:v>4</x:v>
      </x:c>
      <x:c r="H58" s="10" t="n">
        <x:f>AVERAGE('Corrected_Wells'!H226,'Corrected_Wells'!H227,'Corrected_Wells'!H228,'Corrected_Wells'!H229)</x:f>
        <x:v>23.665</x:v>
      </x:c>
      <x:c r="I58" s="10" t="n">
        <x:f>STDEV.S('Corrected_Wells'!H226,'Corrected_Wells'!H227,'Corrected_Wells'!H228,'Corrected_Wells'!H229)</x:f>
        <x:v>0.1066145706114629</x:v>
      </x:c>
      <x:c r="J58" s="10" t="n">
        <x:f>MAX('Corrected_Wells'!H226,'Corrected_Wells'!H227,'Corrected_Wells'!H228,'Corrected_Wells'!H229)-MIN('Corrected_Wells'!H226,'Corrected_Wells'!H227,'Corrected_Wells'!H228,'Corrected_Wells'!H229)</x:f>
        <x:v>0.23000000000000043</x:v>
      </x:c>
      <x:c r="K58" s="10" t="n">
        <x:f>AVERAGE('Corrected_Wells'!I226,'Corrected_Wells'!I227,'Corrected_Wells'!I228,'Corrected_Wells'!I229)</x:f>
        <x:v>79.31</x:v>
      </x:c>
      <x:c r="L58" s="10" t="n">
        <x:f>MAX('Corrected_Wells'!I226,'Corrected_Wells'!I227,'Corrected_Wells'!I228,'Corrected_Wells'!I229)-MIN('Corrected_Wells'!I226,'Corrected_Wells'!I227,'Corrected_Wells'!I228,'Corrected_Wells'!I229)</x:f>
        <x:v>0.12999999999999545</x:v>
      </x:c>
      <x:c r="M58" s="10" t="str">
        <x:v>2</x:v>
      </x:c>
      <x:c r="N58" s="10" t="n">
        <x:v>0.9825</x:v>
      </x:c>
      <x:c r="O58" t="str">
        <x:f>IF(G58&lt;'README_QC'!$B$16,"FAIL",IF(OR(I58&gt;'README_QC'!$B$14,L58&gt;'README_QC'!$B$15),"FAIL",IF(OR(I58&gt;'README_QC'!$B$13,P58&lt;&gt;""),"REVIEW","PASS")))</x:f>
        <x:v>REVIEW</x:v>
      </x:c>
      <x:c r="P58" s="15" t="str">
        <x:v>列10人工备注</x:v>
      </x:c>
    </x:row>
    <x:row r="59">
      <x:c r="A59" t="str">
        <x:v>siZNF436-2</x:v>
      </x:c>
      <x:c r="B59" t="str">
        <x:v>FBN2-2</x:v>
      </x:c>
      <x:c r="C59" t="str">
        <x:v>O13</x:v>
      </x:c>
      <x:c r="D59" t="str">
        <x:v>M14</x:v>
      </x:c>
      <x:c r="E59" t="str">
        <x:v>O15</x:v>
      </x:c>
      <x:c r="F59" t="str">
        <x:v>O16</x:v>
      </x:c>
      <x:c r="G59" t="n">
        <x:v>4</x:v>
      </x:c>
      <x:c r="H59" s="10" t="n">
        <x:f>AVERAGE('Corrected_Wells'!H230,'Corrected_Wells'!H207,'Corrected_Wells'!H232,'Corrected_Wells'!H233)</x:f>
        <x:v>23.674999999999997</x:v>
      </x:c>
      <x:c r="I59" s="10" t="n">
        <x:f>STDEV.S('Corrected_Wells'!H230,'Corrected_Wells'!H207,'Corrected_Wells'!H232,'Corrected_Wells'!H233)</x:f>
        <x:v>0.07325753658612057</x:v>
      </x:c>
      <x:c r="J59" s="10" t="n">
        <x:f>MAX('Corrected_Wells'!H230,'Corrected_Wells'!H207,'Corrected_Wells'!H232,'Corrected_Wells'!H233)-MIN('Corrected_Wells'!H230,'Corrected_Wells'!H207,'Corrected_Wells'!H232,'Corrected_Wells'!H233)</x:f>
        <x:v>0.1700000000000017</x:v>
      </x:c>
      <x:c r="K59" s="10" t="n">
        <x:f>AVERAGE('Corrected_Wells'!I230,'Corrected_Wells'!I207,'Corrected_Wells'!I232,'Corrected_Wells'!I233)</x:f>
        <x:v>83.59</x:v>
      </x:c>
      <x:c r="L59" s="10" t="n">
        <x:f>MAX('Corrected_Wells'!I230,'Corrected_Wells'!I207,'Corrected_Wells'!I232,'Corrected_Wells'!I233)-MIN('Corrected_Wells'!I230,'Corrected_Wells'!I207,'Corrected_Wells'!I232,'Corrected_Wells'!I233)</x:f>
        <x:v>0.11999999999999034</x:v>
      </x:c>
      <x:c r="M59" s="10" t="str">
        <x:v>1</x:v>
      </x:c>
      <x:c r="N59" s="10" t="n">
        <x:v>0.955</x:v>
      </x:c>
      <x:c r="O59" t="str">
        <x:f>IF(G59&lt;'README_QC'!$B$16,"FAIL",IF(OR(I59&gt;'README_QC'!$B$14,L59&gt;'README_QC'!$B$15),"FAIL",IF(OR(I59&gt;'README_QC'!$B$13,P59&lt;&gt;""),"REVIEW","PASS")))</x:f>
        <x:v>REVIEW</x:v>
      </x:c>
      <x:c r="P59" s="15" t="str">
        <x:v>列14已重映射</x:v>
      </x:c>
    </x:row>
    <x:row r="60">
      <x:c r="A60" t="str">
        <x:v>siZNF436-2</x:v>
      </x:c>
      <x:c r="B60" t="str">
        <x:v>ZNF436-1</x:v>
      </x:c>
      <x:c r="C60" t="str">
        <x:v>O17</x:v>
      </x:c>
      <x:c r="D60" t="str">
        <x:v>O18</x:v>
      </x:c>
      <x:c r="E60" t="str">
        <x:v>O19</x:v>
      </x:c>
      <x:c r="F60" t="str">
        <x:v>O20</x:v>
      </x:c>
      <x:c r="G60" t="n">
        <x:v>4</x:v>
      </x:c>
      <x:c r="H60" s="10" t="n">
        <x:f>AVERAGE('Corrected_Wells'!H234,'Corrected_Wells'!H235,'Corrected_Wells'!H236,'Corrected_Wells'!H237)</x:f>
        <x:v>28.979999999999997</x:v>
      </x:c>
      <x:c r="I60" s="10" t="n">
        <x:f>STDEV.S('Corrected_Wells'!H234,'Corrected_Wells'!H235,'Corrected_Wells'!H236,'Corrected_Wells'!H237)</x:f>
        <x:v>0.1430617582258335</x:v>
      </x:c>
      <x:c r="J60" s="10" t="n">
        <x:f>MAX('Corrected_Wells'!H234,'Corrected_Wells'!H235,'Corrected_Wells'!H236,'Corrected_Wells'!H237)-MIN('Corrected_Wells'!H234,'Corrected_Wells'!H235,'Corrected_Wells'!H236,'Corrected_Wells'!H237)</x:f>
        <x:v>0.33000000000000185</x:v>
      </x:c>
      <x:c r="K60" s="10" t="n">
        <x:f>AVERAGE('Corrected_Wells'!I234,'Corrected_Wells'!I235,'Corrected_Wells'!I236,'Corrected_Wells'!I237)</x:f>
        <x:v>76.935</x:v>
      </x:c>
      <x:c r="L60" s="10" t="n">
        <x:f>MAX('Corrected_Wells'!I234,'Corrected_Wells'!I235,'Corrected_Wells'!I236,'Corrected_Wells'!I237)-MIN('Corrected_Wells'!I234,'Corrected_Wells'!I235,'Corrected_Wells'!I236,'Corrected_Wells'!I237)</x:f>
        <x:v>0.8799999999999955</x:v>
      </x:c>
      <x:c r="M60" s="10" t="str">
        <x:v>3</x:v>
      </x:c>
      <x:c r="N60" s="10" t="n">
        <x:v>0.7925</x:v>
      </x:c>
      <x:c r="O60" t="str">
        <x:f>IF(G60&lt;'README_QC'!$B$16,"FAIL",IF(OR(I60&gt;'README_QC'!$B$14,L60&gt;'README_QC'!$B$15),"FAIL",IF(OR(I60&gt;'README_QC'!$B$13,P60&lt;&gt;""),"REVIEW","PASS")))</x:f>
        <x:v>FAIL</x:v>
      </x:c>
      <x:c r="P60" s="15" t="str">
        <x:v>Tm复孔范围&gt;0.50°C</x:v>
      </x:c>
    </x:row>
    <x:row r="61">
      <x:c r="A61" t="str">
        <x:v>siZNF436-2</x:v>
      </x:c>
      <x:c r="B61" t="str">
        <x:v>ZNF436-2</x:v>
      </x:c>
      <x:c r="C61" t="str">
        <x:v>O21</x:v>
      </x:c>
      <x:c r="D61" t="str">
        <x:v>O22</x:v>
      </x:c>
      <x:c r="E61" t="str">
        <x:v>O23</x:v>
      </x:c>
      <x:c r="F61" t="str">
        <x:v>O24</x:v>
      </x:c>
      <x:c r="G61" t="n">
        <x:v>4</x:v>
      </x:c>
      <x:c r="H61" s="10" t="n">
        <x:f>AVERAGE('Corrected_Wells'!H238,'Corrected_Wells'!H239,'Corrected_Wells'!H240,'Corrected_Wells'!H241)</x:f>
        <x:v>25.2375</x:v>
      </x:c>
      <x:c r="I61" s="10" t="n">
        <x:f>STDEV.S('Corrected_Wells'!H238,'Corrected_Wells'!H239,'Corrected_Wells'!H240,'Corrected_Wells'!H241)</x:f>
        <x:v>0.1668082731761225</x:v>
      </x:c>
      <x:c r="J61" s="10" t="n">
        <x:f>MAX('Corrected_Wells'!H238,'Corrected_Wells'!H239,'Corrected_Wells'!H240,'Corrected_Wells'!H241)-MIN('Corrected_Wells'!H238,'Corrected_Wells'!H239,'Corrected_Wells'!H240,'Corrected_Wells'!H241)</x:f>
        <x:v>0.379999999999999</x:v>
      </x:c>
      <x:c r="K61" s="10" t="n">
        <x:f>AVERAGE('Corrected_Wells'!I238,'Corrected_Wells'!I239,'Corrected_Wells'!I240,'Corrected_Wells'!I241)</x:f>
        <x:v>73.2225</x:v>
      </x:c>
      <x:c r="L61" s="10" t="n">
        <x:f>MAX('Corrected_Wells'!I238,'Corrected_Wells'!I239,'Corrected_Wells'!I240,'Corrected_Wells'!I241)-MIN('Corrected_Wells'!I238,'Corrected_Wells'!I239,'Corrected_Wells'!I240,'Corrected_Wells'!I241)</x:f>
        <x:v>0.07000000000000739</x:v>
      </x:c>
      <x:c r="M61" s="10" t="str">
        <x:v>3</x:v>
      </x:c>
      <x:c r="N61" s="10" t="n">
        <x:v>0.99</x:v>
      </x:c>
      <x:c r="O61" t="str">
        <x:f>IF(G61&lt;'README_QC'!$B$16,"FAIL",IF(OR(I61&gt;'README_QC'!$B$14,L61&gt;'README_QC'!$B$15),"FAIL",IF(OR(I61&gt;'README_QC'!$B$13,P61&lt;&gt;""),"REVIEW","PASS")))</x:f>
        <x:v>PASS</x:v>
      </x:c>
      <x:c r="P61" s="15" t="str"/>
    </x:row>
  </x:sheetData>
  <x:conditionalFormatting sqref="O2:O61">
    <x:cfRule type="containsText" dxfId="2" priority="1" operator="containsText" text="PASS"/>
    <x:cfRule type="containsText" dxfId="3" priority="2" operator="containsText" text="REVIEW"/>
    <x:cfRule type="containsText" dxfId="4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56d48c1cba5c4c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34" hidden="0" customWidth="1"/>
  </x:cols>
  <x:sheetData>
    <x:row r="1">
      <x:c r="A1" s="9" t="str">
        <x:v>Sample</x:v>
      </x:c>
      <x:c r="B1" s="9" t="str">
        <x:v>Assay</x:v>
      </x:c>
      <x:c r="C1" s="9" t="str">
        <x:v>Mean_target_Cp</x:v>
      </x:c>
      <x:c r="D1" s="9" t="str">
        <x:v>Mean_GAPDH_Cp</x:v>
      </x:c>
      <x:c r="E1" s="9" t="str">
        <x:v>Mean_TBP_Cp</x:v>
      </x:c>
      <x:c r="F1" s="9" t="str">
        <x:v>Mean_reference_Cp</x:v>
      </x:c>
      <x:c r="G1" s="9" t="str">
        <x:v>Delta_Ct</x:v>
      </x:c>
      <x:c r="H1" s="9" t="str">
        <x:v>DeltaDelta_Ct_vs_NC-FAM</x:v>
      </x:c>
      <x:c r="I1" s="9" t="str">
        <x:v>Relative_expression_vs_NC-FAM</x:v>
      </x:c>
      <x:c r="J1" s="9" t="str">
        <x:v>Apparent_knockdown_vs_NC-FAM</x:v>
      </x:c>
      <x:c r="K1" s="9" t="str">
        <x:v>DeltaDelta_Ct_vs_Mock</x:v>
      </x:c>
      <x:c r="L1" s="9" t="str">
        <x:v>Relative_expression_vs_Mock</x:v>
      </x:c>
      <x:c r="M1" s="9" t="str">
        <x:v>Interpretation_boundary</x:v>
      </x:c>
    </x:row>
    <x:row r="2">
      <x:c r="A2" t="str">
        <x:v>Mock</x:v>
      </x:c>
      <x:c r="B2" t="str">
        <x:v>FBN2-1</x:v>
      </x:c>
      <x:c r="C2" s="16" t="n">
        <x:f>'Replicate_QC'!H4</x:f>
        <x:v>23.9225</x:v>
      </x:c>
      <x:c r="D2" s="16" t="n">
        <x:f>'Replicate_QC'!H2</x:f>
        <x:v>16.48</x:v>
      </x:c>
      <x:c r="E2" s="16" t="n">
        <x:f>'Replicate_QC'!H3</x:f>
        <x:v>25.330000000000002</x:v>
      </x:c>
      <x:c r="F2" s="16" t="n">
        <x:f>AVERAGE(D2,E2)</x:f>
        <x:v>20.905</x:v>
      </x:c>
      <x:c r="G2" s="16" t="n">
        <x:f>C2-F2</x:f>
        <x:v>3.0174999999999983</x:v>
      </x:c>
      <x:c r="H2" s="16" t="n">
        <x:f>G2-G6</x:f>
        <x:v>-0.12750000000000128</x:v>
      </x:c>
      <x:c r="I2" s="17" t="n">
        <x:f>POWER(2,-H2)</x:f>
        <x:v>1.092399076817499</x:v>
      </x:c>
      <x:c r="J2" s="17" t="n">
        <x:f>1-I2</x:f>
        <x:v>-0.09239907681749893</x:v>
      </x:c>
      <x:c r="K2" s="16" t="n">
        <x:f>G2-G2</x:f>
        <x:v>0</x:v>
      </x:c>
      <x:c r="L2" s="17" t="n">
        <x:f>POWER(2,-K2)</x:f>
        <x:v>1</x:v>
      </x:c>
      <x:c r="M2" t="str">
        <x:v>描述性；仅技术复孔；效率相当假设</x:v>
      </x:c>
    </x:row>
    <x:row r="3">
      <x:c r="A3" t="str">
        <x:v>Mock</x:v>
      </x:c>
      <x:c r="B3" t="str">
        <x:v>FBN2-2</x:v>
      </x:c>
      <x:c r="C3" s="16" t="n">
        <x:f>'Replicate_QC'!H5</x:f>
        <x:v>23.9725</x:v>
      </x:c>
      <x:c r="D3" s="16" t="n">
        <x:f>'Replicate_QC'!H2</x:f>
        <x:v>16.48</x:v>
      </x:c>
      <x:c r="E3" s="16" t="n">
        <x:f>'Replicate_QC'!H3</x:f>
        <x:v>25.330000000000002</x:v>
      </x:c>
      <x:c r="F3" s="16" t="n">
        <x:f>AVERAGE(D3,E3)</x:f>
        <x:v>20.905</x:v>
      </x:c>
      <x:c r="G3" s="16" t="n">
        <x:f>C3-F3</x:f>
        <x:v>3.067499999999999</x:v>
      </x:c>
      <x:c r="H3" s="16" t="n">
        <x:f>G3-G7</x:f>
        <x:v>-0.13500000000000512</x:v>
      </x:c>
      <x:c r="I3" s="17" t="n">
        <x:f>POWER(2,-H3)</x:f>
        <x:v>1.0980928137870536</x:v>
      </x:c>
      <x:c r="J3" s="17" t="n">
        <x:f>1-I3</x:f>
        <x:v>-0.09809281378705359</x:v>
      </x:c>
      <x:c r="K3" s="16" t="n">
        <x:f>G3-G3</x:f>
        <x:v>0</x:v>
      </x:c>
      <x:c r="L3" s="17" t="n">
        <x:f>POWER(2,-K3)</x:f>
        <x:v>1</x:v>
      </x:c>
      <x:c r="M3" t="str">
        <x:v>描述性；仅技术复孔；效率相当假设</x:v>
      </x:c>
    </x:row>
    <x:row r="4">
      <x:c r="A4" t="str">
        <x:v>Mock</x:v>
      </x:c>
      <x:c r="B4" t="str">
        <x:v>ZNF436-1</x:v>
      </x:c>
      <x:c r="C4" s="16" t="n">
        <x:f>'Replicate_QC'!H6</x:f>
        <x:v>27.619999999999997</x:v>
      </x:c>
      <x:c r="D4" s="16" t="n">
        <x:f>'Replicate_QC'!H2</x:f>
        <x:v>16.48</x:v>
      </x:c>
      <x:c r="E4" s="16" t="n">
        <x:f>'Replicate_QC'!H3</x:f>
        <x:v>25.330000000000002</x:v>
      </x:c>
      <x:c r="F4" s="16" t="n">
        <x:f>AVERAGE(D4,E4)</x:f>
        <x:v>20.905</x:v>
      </x:c>
      <x:c r="G4" s="16" t="n">
        <x:f>C4-F4</x:f>
        <x:v>6.714999999999996</x:v>
      </x:c>
      <x:c r="H4" s="16" t="n">
        <x:f>G4-G8</x:f>
        <x:v>-0.09500000000000242</x:v>
      </x:c>
      <x:c r="I4" s="17" t="n">
        <x:f>POWER(2,-H4)</x:f>
        <x:v>1.0680654080478533</x:v>
      </x:c>
      <x:c r="J4" s="17" t="n">
        <x:f>1-I4</x:f>
        <x:v>-0.06806540804785333</x:v>
      </x:c>
      <x:c r="K4" s="16" t="n">
        <x:f>G4-G4</x:f>
        <x:v>0</x:v>
      </x:c>
      <x:c r="L4" s="17" t="n">
        <x:f>POWER(2,-K4)</x:f>
        <x:v>1</x:v>
      </x:c>
      <x:c r="M4" t="str">
        <x:v>描述性；仅技术复孔；效率相当假设</x:v>
      </x:c>
    </x:row>
    <x:row r="5">
      <x:c r="A5" t="str">
        <x:v>Mock</x:v>
      </x:c>
      <x:c r="B5" t="str">
        <x:v>ZNF436-2</x:v>
      </x:c>
      <x:c r="C5" s="16" t="n">
        <x:f>'Replicate_QC'!H7</x:f>
        <x:v>26.2125</x:v>
      </x:c>
      <x:c r="D5" s="16" t="n">
        <x:f>'Replicate_QC'!H2</x:f>
        <x:v>16.48</x:v>
      </x:c>
      <x:c r="E5" s="16" t="n">
        <x:f>'Replicate_QC'!H3</x:f>
        <x:v>25.330000000000002</x:v>
      </x:c>
      <x:c r="F5" s="16" t="n">
        <x:f>AVERAGE(D5,E5)</x:f>
        <x:v>20.905</x:v>
      </x:c>
      <x:c r="G5" s="16" t="n">
        <x:f>C5-F5</x:f>
        <x:v>5.307499999999997</x:v>
      </x:c>
      <x:c r="H5" s="16" t="n">
        <x:f>G5-G9</x:f>
        <x:v>-1.1125000000000043</x:v>
      </x:c>
      <x:c r="I5" s="17" t="n">
        <x:f>POWER(2,-H5)</x:f>
        <x:v>2.162200035668534</x:v>
      </x:c>
      <x:c r="J5" s="17" t="n">
        <x:f>1-I5</x:f>
        <x:v>-1.1622000356685338</x:v>
      </x:c>
      <x:c r="K5" s="16" t="n">
        <x:f>G5-G5</x:f>
        <x:v>0</x:v>
      </x:c>
      <x:c r="L5" s="17" t="n">
        <x:f>POWER(2,-K5)</x:f>
        <x:v>1</x:v>
      </x:c>
      <x:c r="M5" t="str">
        <x:v>描述性；仅技术复孔；效率相当假设</x:v>
      </x:c>
    </x:row>
    <x:row r="6">
      <x:c r="A6" t="str">
        <x:v>NC-FAM</x:v>
      </x:c>
      <x:c r="B6" t="str">
        <x:v>FBN2-1</x:v>
      </x:c>
      <x:c r="C6" s="16" t="n">
        <x:f>'Replicate_QC'!H10</x:f>
        <x:v>23.505</x:v>
      </x:c>
      <x:c r="D6" s="16" t="n">
        <x:f>'Replicate_QC'!H8</x:f>
        <x:v>15.92</x:v>
      </x:c>
      <x:c r="E6" s="16" t="n">
        <x:f>'Replicate_QC'!H9</x:f>
        <x:v>24.799999999999997</x:v>
      </x:c>
      <x:c r="F6" s="16" t="n">
        <x:f>AVERAGE(D6,E6)</x:f>
        <x:v>20.36</x:v>
      </x:c>
      <x:c r="G6" s="16" t="n">
        <x:f>C6-F6</x:f>
        <x:v>3.1449999999999996</x:v>
      </x:c>
      <x:c r="H6" s="16" t="n">
        <x:f>G6-G6</x:f>
        <x:v>0</x:v>
      </x:c>
      <x:c r="I6" s="17" t="n">
        <x:f>POWER(2,-H6)</x:f>
        <x:v>1</x:v>
      </x:c>
      <x:c r="J6" s="17" t="n">
        <x:f>1-I6</x:f>
        <x:v>0</x:v>
      </x:c>
      <x:c r="K6" s="16" t="n">
        <x:f>G6-G2</x:f>
        <x:v>0.12750000000000128</x:v>
      </x:c>
      <x:c r="L6" s="17" t="n">
        <x:f>POWER(2,-K6)</x:f>
        <x:v>0.9154163722962065</x:v>
      </x:c>
      <x:c r="M6" t="str">
        <x:v>描述性；仅技术复孔；效率相当假设</x:v>
      </x:c>
    </x:row>
    <x:row r="7">
      <x:c r="A7" t="str">
        <x:v>NC-FAM</x:v>
      </x:c>
      <x:c r="B7" t="str">
        <x:v>FBN2-2</x:v>
      </x:c>
      <x:c r="C7" s="16" t="n">
        <x:f>'Replicate_QC'!H11</x:f>
        <x:v>23.562500000000004</x:v>
      </x:c>
      <x:c r="D7" s="16" t="n">
        <x:f>'Replicate_QC'!H8</x:f>
        <x:v>15.92</x:v>
      </x:c>
      <x:c r="E7" s="16" t="n">
        <x:f>'Replicate_QC'!H9</x:f>
        <x:v>24.799999999999997</x:v>
      </x:c>
      <x:c r="F7" s="16" t="n">
        <x:f>AVERAGE(D7,E7)</x:f>
        <x:v>20.36</x:v>
      </x:c>
      <x:c r="G7" s="16" t="n">
        <x:f>C7-F7</x:f>
        <x:v>3.202500000000004</x:v>
      </x:c>
      <x:c r="H7" s="16" t="n">
        <x:f>G7-G7</x:f>
        <x:v>0</x:v>
      </x:c>
      <x:c r="I7" s="17" t="n">
        <x:f>POWER(2,-H7)</x:f>
        <x:v>1</x:v>
      </x:c>
      <x:c r="J7" s="17" t="n">
        <x:f>1-I7</x:f>
        <x:v>0</x:v>
      </x:c>
      <x:c r="K7" s="16" t="n">
        <x:f>G7-G3</x:f>
        <x:v>0.13500000000000512</x:v>
      </x:c>
      <x:c r="L7" s="17" t="n">
        <x:f>POWER(2,-K7)</x:f>
        <x:v>0.9106698335919752</x:v>
      </x:c>
      <x:c r="M7" t="str">
        <x:v>描述性；仅技术复孔；效率相当假设</x:v>
      </x:c>
    </x:row>
    <x:row r="8">
      <x:c r="A8" t="str">
        <x:v>NC-FAM</x:v>
      </x:c>
      <x:c r="B8" t="str">
        <x:v>ZNF436-1</x:v>
      </x:c>
      <x:c r="C8" s="16" t="n">
        <x:f>'Replicate_QC'!H12</x:f>
        <x:v>27.169999999999998</x:v>
      </x:c>
      <x:c r="D8" s="16" t="n">
        <x:f>'Replicate_QC'!H8</x:f>
        <x:v>15.92</x:v>
      </x:c>
      <x:c r="E8" s="16" t="n">
        <x:f>'Replicate_QC'!H9</x:f>
        <x:v>24.799999999999997</x:v>
      </x:c>
      <x:c r="F8" s="16" t="n">
        <x:f>AVERAGE(D8,E8)</x:f>
        <x:v>20.36</x:v>
      </x:c>
      <x:c r="G8" s="16" t="n">
        <x:f>C8-F8</x:f>
        <x:v>6.809999999999999</x:v>
      </x:c>
      <x:c r="H8" s="16" t="n">
        <x:f>G8-G8</x:f>
        <x:v>0</x:v>
      </x:c>
      <x:c r="I8" s="17" t="n">
        <x:f>POWER(2,-H8)</x:f>
        <x:v>1</x:v>
      </x:c>
      <x:c r="J8" s="17" t="n">
        <x:f>1-I8</x:f>
        <x:v>0</x:v>
      </x:c>
      <x:c r="K8" s="16" t="n">
        <x:f>G8-G4</x:f>
        <x:v>0.09500000000000242</x:v>
      </x:c>
      <x:c r="L8" s="17" t="n">
        <x:f>POWER(2,-K8)</x:f>
        <x:v>0.9362722474344907</x:v>
      </x:c>
      <x:c r="M8" t="str">
        <x:v>描述性；仅技术复孔；效率相当假设</x:v>
      </x:c>
    </x:row>
    <x:row r="9">
      <x:c r="A9" t="str">
        <x:v>NC-FAM</x:v>
      </x:c>
      <x:c r="B9" t="str">
        <x:v>ZNF436-2</x:v>
      </x:c>
      <x:c r="C9" s="16" t="n">
        <x:f>'Replicate_QC'!H13</x:f>
        <x:v>26.78</x:v>
      </x:c>
      <x:c r="D9" s="16" t="n">
        <x:f>'Replicate_QC'!H8</x:f>
        <x:v>15.92</x:v>
      </x:c>
      <x:c r="E9" s="16" t="n">
        <x:f>'Replicate_QC'!H9</x:f>
        <x:v>24.799999999999997</x:v>
      </x:c>
      <x:c r="F9" s="16" t="n">
        <x:f>AVERAGE(D9,E9)</x:f>
        <x:v>20.36</x:v>
      </x:c>
      <x:c r="G9" s="16" t="n">
        <x:f>C9-F9</x:f>
        <x:v>6.420000000000002</x:v>
      </x:c>
      <x:c r="H9" s="16" t="n">
        <x:f>G9-G9</x:f>
        <x:v>0</x:v>
      </x:c>
      <x:c r="I9" s="17" t="n">
        <x:f>POWER(2,-H9)</x:f>
        <x:v>1</x:v>
      </x:c>
      <x:c r="J9" s="17" t="n">
        <x:f>1-I9</x:f>
        <x:v>0</x:v>
      </x:c>
      <x:c r="K9" s="16" t="n">
        <x:f>G9-G5</x:f>
        <x:v>1.1125000000000043</x:v>
      </x:c>
      <x:c r="L9" s="17" t="n">
        <x:f>POWER(2,-K9)</x:f>
        <x:v>0.46249189876218294</x:v>
      </x:c>
      <x:c r="M9" t="str">
        <x:v>描述性；仅技术复孔；效率相当假设</x:v>
      </x:c>
    </x:row>
    <x:row r="10">
      <x:c r="A10" t="str">
        <x:v>siZNF436-3</x:v>
      </x:c>
      <x:c r="B10" t="str">
        <x:v>FBN2-1</x:v>
      </x:c>
      <x:c r="C10" s="16" t="n">
        <x:f>'Replicate_QC'!H16</x:f>
        <x:v>23.21</x:v>
      </x:c>
      <x:c r="D10" s="16" t="n">
        <x:f>'Replicate_QC'!H14</x:f>
        <x:v>16.395</x:v>
      </x:c>
      <x:c r="E10" s="16" t="n">
        <x:f>'Replicate_QC'!H15</x:f>
        <x:v>25.115</x:v>
      </x:c>
      <x:c r="F10" s="16" t="n">
        <x:f>AVERAGE(D10,E10)</x:f>
        <x:v>20.755</x:v>
      </x:c>
      <x:c r="G10" s="16" t="n">
        <x:f>C10-F10</x:f>
        <x:v>2.455000000000002</x:v>
      </x:c>
      <x:c r="H10" s="16" t="n">
        <x:f>G10-G6</x:f>
        <x:v>-0.6899999999999977</x:v>
      </x:c>
      <x:c r="I10" s="17" t="n">
        <x:f>POWER(2,-H10)</x:f>
        <x:v>1.61328351844425</x:v>
      </x:c>
      <x:c r="J10" s="17" t="n">
        <x:f>1-I10</x:f>
        <x:v>-0.61328351844425</x:v>
      </x:c>
      <x:c r="K10" s="16" t="n">
        <x:f>G10-G2</x:f>
        <x:v>-0.5624999999999964</x:v>
      </x:c>
      <x:c r="L10" s="17" t="n">
        <x:f>POWER(2,-K10)</x:f>
        <x:v>1.4768261459394956</x:v>
      </x:c>
      <x:c r="M10" t="str">
        <x:v>描述性；仅技术复孔；效率相当假设</x:v>
      </x:c>
    </x:row>
    <x:row r="11">
      <x:c r="A11" t="str">
        <x:v>siZNF436-3</x:v>
      </x:c>
      <x:c r="B11" t="str">
        <x:v>FBN2-2</x:v>
      </x:c>
      <x:c r="C11" s="16" t="n">
        <x:f>'Replicate_QC'!H17</x:f>
        <x:v>23.822499999999998</x:v>
      </x:c>
      <x:c r="D11" s="16" t="n">
        <x:f>'Replicate_QC'!H14</x:f>
        <x:v>16.395</x:v>
      </x:c>
      <x:c r="E11" s="16" t="n">
        <x:f>'Replicate_QC'!H15</x:f>
        <x:v>25.115</x:v>
      </x:c>
      <x:c r="F11" s="16" t="n">
        <x:f>AVERAGE(D11,E11)</x:f>
        <x:v>20.755</x:v>
      </x:c>
      <x:c r="G11" s="16" t="n">
        <x:f>C11-F11</x:f>
        <x:v>3.067499999999999</x:v>
      </x:c>
      <x:c r="H11" s="16" t="n">
        <x:f>G11-G7</x:f>
        <x:v>-0.13500000000000512</x:v>
      </x:c>
      <x:c r="I11" s="17" t="n">
        <x:f>POWER(2,-H11)</x:f>
        <x:v>1.0980928137870536</x:v>
      </x:c>
      <x:c r="J11" s="17" t="n">
        <x:f>1-I11</x:f>
        <x:v>-0.09809281378705359</x:v>
      </x:c>
      <x:c r="K11" s="16" t="n">
        <x:f>G11-G3</x:f>
        <x:v>0</x:v>
      </x:c>
      <x:c r="L11" s="17" t="n">
        <x:f>POWER(2,-K11)</x:f>
        <x:v>1</x:v>
      </x:c>
      <x:c r="M11" t="str">
        <x:v>描述性；仅技术复孔；效率相当假设</x:v>
      </x:c>
    </x:row>
    <x:row r="12">
      <x:c r="A12" t="str">
        <x:v>siZNF436-3</x:v>
      </x:c>
      <x:c r="B12" t="str">
        <x:v>ZNF436-1</x:v>
      </x:c>
      <x:c r="C12" s="16" t="n">
        <x:f>'Replicate_QC'!H18</x:f>
        <x:v>29.455000000000002</x:v>
      </x:c>
      <x:c r="D12" s="16" t="n">
        <x:f>'Replicate_QC'!H14</x:f>
        <x:v>16.395</x:v>
      </x:c>
      <x:c r="E12" s="16" t="n">
        <x:f>'Replicate_QC'!H15</x:f>
        <x:v>25.115</x:v>
      </x:c>
      <x:c r="F12" s="16" t="n">
        <x:f>AVERAGE(D12,E12)</x:f>
        <x:v>20.755</x:v>
      </x:c>
      <x:c r="G12" s="16" t="n">
        <x:f>C12-F12</x:f>
        <x:v>8.700000000000003</x:v>
      </x:c>
      <x:c r="H12" s="16" t="n">
        <x:f>G12-G8</x:f>
        <x:v>1.8900000000000041</x:v>
      </x:c>
      <x:c r="I12" s="17" t="n">
        <x:f>POWER(2,-H12)</x:f>
        <x:v>0.26980705912610603</x:v>
      </x:c>
      <x:c r="J12" s="17" t="n">
        <x:f>1-I12</x:f>
        <x:v>0.730192940873894</x:v>
      </x:c>
      <x:c r="K12" s="16" t="n">
        <x:f>G12-G4</x:f>
        <x:v>1.9850000000000065</x:v>
      </x:c>
      <x:c r="L12" s="17" t="n">
        <x:f>POWER(2,-K12)</x:f>
        <x:v>0.2526128616216898</x:v>
      </x:c>
      <x:c r="M12" t="str">
        <x:v>描述性；仅技术复孔；效率相当假设</x:v>
      </x:c>
    </x:row>
    <x:row r="13">
      <x:c r="A13" t="str">
        <x:v>siZNF436-3</x:v>
      </x:c>
      <x:c r="B13" t="str">
        <x:v>ZNF436-2</x:v>
      </x:c>
      <x:c r="C13" s="16" t="n">
        <x:f>'Replicate_QC'!H19</x:f>
        <x:v>25.7825</x:v>
      </x:c>
      <x:c r="D13" s="16" t="n">
        <x:f>'Replicate_QC'!H14</x:f>
        <x:v>16.395</x:v>
      </x:c>
      <x:c r="E13" s="16" t="n">
        <x:f>'Replicate_QC'!H15</x:f>
        <x:v>25.115</x:v>
      </x:c>
      <x:c r="F13" s="16" t="n">
        <x:f>AVERAGE(D13,E13)</x:f>
        <x:v>20.755</x:v>
      </x:c>
      <x:c r="G13" s="16" t="n">
        <x:f>C13-F13</x:f>
        <x:v>5.0275</x:v>
      </x:c>
      <x:c r="H13" s="16" t="n">
        <x:f>G13-G9</x:f>
        <x:v>-1.3925000000000018</x:v>
      </x:c>
      <x:c r="I13" s="17" t="n">
        <x:f>POWER(2,-H13)</x:f>
        <x:v>2.6253322223475175</x:v>
      </x:c>
      <x:c r="J13" s="17" t="n">
        <x:f>1-I13</x:f>
        <x:v>-1.6253322223475175</x:v>
      </x:c>
      <x:c r="K13" s="16" t="n">
        <x:f>G13-G5</x:f>
        <x:v>-0.2799999999999976</x:v>
      </x:c>
      <x:c r="L13" s="17" t="n">
        <x:f>POWER(2,-K13)</x:f>
        <x:v>1.2141948843950447</x:v>
      </x:c>
      <x:c r="M13" t="str">
        <x:v>描述性；仅技术复孔；效率相当假设</x:v>
      </x:c>
    </x:row>
    <x:row r="14">
      <x:c r="A14" t="str">
        <x:v>siFBN2-1</x:v>
      </x:c>
      <x:c r="B14" t="str">
        <x:v>FBN2-1</x:v>
      </x:c>
      <x:c r="C14" s="16" t="n">
        <x:f>'Replicate_QC'!H22</x:f>
        <x:v>23.65</x:v>
      </x:c>
      <x:c r="D14" s="16" t="n">
        <x:f>'Replicate_QC'!H20</x:f>
        <x:v>16.095</x:v>
      </x:c>
      <x:c r="E14" s="16" t="n">
        <x:f>'Replicate_QC'!H21</x:f>
        <x:v>25.0075</x:v>
      </x:c>
      <x:c r="F14" s="16" t="n">
        <x:f>AVERAGE(D14,E14)</x:f>
        <x:v>20.55125</x:v>
      </x:c>
      <x:c r="G14" s="16" t="n">
        <x:f>C14-F14</x:f>
        <x:v>3.098749999999999</x:v>
      </x:c>
      <x:c r="H14" s="16" t="n">
        <x:f>G14-G6</x:f>
        <x:v>-0.04625000000000057</x:v>
      </x:c>
      <x:c r="I14" s="17" t="n">
        <x:f>POWER(2,-H14)</x:f>
        <x:v>1.032577452018252</x:v>
      </x:c>
      <x:c r="J14" s="17" t="n">
        <x:f>1-I14</x:f>
        <x:v>-0.03257745201825202</x:v>
      </x:c>
      <x:c r="K14" s="16" t="n">
        <x:f>G14-G2</x:f>
        <x:v>0.08125000000000071</x:v>
      </x:c>
      <x:c r="L14" s="17" t="n">
        <x:f>POWER(2,-K14)</x:f>
        <x:v>0.9452383052414086</x:v>
      </x:c>
      <x:c r="M14" t="str">
        <x:v>描述性；仅技术复孔；效率相当假设</x:v>
      </x:c>
    </x:row>
    <x:row r="15">
      <x:c r="A15" t="str">
        <x:v>siFBN2-1</x:v>
      </x:c>
      <x:c r="B15" t="str">
        <x:v>FBN2-2</x:v>
      </x:c>
      <x:c r="C15" s="16" t="n">
        <x:f>'Replicate_QC'!H23</x:f>
        <x:v>23.697499999999998</x:v>
      </x:c>
      <x:c r="D15" s="16" t="n">
        <x:f>'Replicate_QC'!H20</x:f>
        <x:v>16.095</x:v>
      </x:c>
      <x:c r="E15" s="16" t="n">
        <x:f>'Replicate_QC'!H21</x:f>
        <x:v>25.0075</x:v>
      </x:c>
      <x:c r="F15" s="16" t="n">
        <x:f>AVERAGE(D15,E15)</x:f>
        <x:v>20.55125</x:v>
      </x:c>
      <x:c r="G15" s="16" t="n">
        <x:f>C15-F15</x:f>
        <x:v>3.1462499999999984</x:v>
      </x:c>
      <x:c r="H15" s="16" t="n">
        <x:f>G15-G7</x:f>
        <x:v>-0.056250000000005684</x:v>
      </x:c>
      <x:c r="I15" s="17" t="n">
        <x:f>POWER(2,-H15)</x:f>
        <x:v>1.0397595961732078</x:v>
      </x:c>
      <x:c r="J15" s="17" t="n">
        <x:f>1-I15</x:f>
        <x:v>-0.03975959617320779</x:v>
      </x:c>
      <x:c r="K15" s="16" t="n">
        <x:f>G15-G3</x:f>
        <x:v>0.07874999999999943</x:v>
      </x:c>
      <x:c r="L15" s="17" t="n">
        <x:f>POWER(2,-K15)</x:f>
        <x:v>0.9468776984227145</x:v>
      </x:c>
      <x:c r="M15" t="str">
        <x:v>描述性；仅技术复孔；效率相当假设</x:v>
      </x:c>
    </x:row>
    <x:row r="16">
      <x:c r="A16" t="str">
        <x:v>siFBN2-1</x:v>
      </x:c>
      <x:c r="B16" t="str">
        <x:v>ZNF436-1</x:v>
      </x:c>
      <x:c r="C16" s="16" t="n">
        <x:f>'Replicate_QC'!H24</x:f>
        <x:v>27.6075</x:v>
      </x:c>
      <x:c r="D16" s="16" t="n">
        <x:f>'Replicate_QC'!H20</x:f>
        <x:v>16.095</x:v>
      </x:c>
      <x:c r="E16" s="16" t="n">
        <x:f>'Replicate_QC'!H21</x:f>
        <x:v>25.0075</x:v>
      </x:c>
      <x:c r="F16" s="16" t="n">
        <x:f>AVERAGE(D16,E16)</x:f>
        <x:v>20.55125</x:v>
      </x:c>
      <x:c r="G16" s="16" t="n">
        <x:f>C16-F16</x:f>
        <x:v>7.056250000000002</x:v>
      </x:c>
      <x:c r="H16" s="16" t="n">
        <x:f>G16-G8</x:f>
        <x:v>0.2462500000000034</x:v>
      </x:c>
      <x:c r="I16" s="17" t="n">
        <x:f>POWER(2,-H16)</x:f>
        <x:v>0.8430850020931256</x:v>
      </x:c>
      <x:c r="J16" s="17" t="n">
        <x:f>1-I16</x:f>
        <x:v>0.15691499790687435</x:v>
      </x:c>
      <x:c r="K16" s="16" t="n">
        <x:f>G16-G4</x:f>
        <x:v>0.3412500000000058</x:v>
      </x:c>
      <x:c r="L16" s="17" t="n">
        <x:f>POWER(2,-K16)</x:f>
        <x:v>0.7893570896880431</x:v>
      </x:c>
      <x:c r="M16" t="str">
        <x:v>描述性；仅技术复孔；效率相当假设</x:v>
      </x:c>
    </x:row>
    <x:row r="17">
      <x:c r="A17" t="str">
        <x:v>siFBN2-1</x:v>
      </x:c>
      <x:c r="B17" t="str">
        <x:v>ZNF436-2</x:v>
      </x:c>
      <x:c r="C17" s="16" t="n">
        <x:f>'Replicate_QC'!H25</x:f>
        <x:v>26.67</x:v>
      </x:c>
      <x:c r="D17" s="16" t="n">
        <x:f>'Replicate_QC'!H20</x:f>
        <x:v>16.095</x:v>
      </x:c>
      <x:c r="E17" s="16" t="n">
        <x:f>'Replicate_QC'!H21</x:f>
        <x:v>25.0075</x:v>
      </x:c>
      <x:c r="F17" s="16" t="n">
        <x:f>AVERAGE(D17,E17)</x:f>
        <x:v>20.55125</x:v>
      </x:c>
      <x:c r="G17" s="16" t="n">
        <x:f>C17-F17</x:f>
        <x:v>6.118750000000002</x:v>
      </x:c>
      <x:c r="H17" s="16" t="n">
        <x:f>G17-G9</x:f>
        <x:v>-0.3012499999999996</x:v>
      </x:c>
      <x:c r="I17" s="17" t="n">
        <x:f>POWER(2,-H17)</x:f>
        <x:v>1.2322115809420022</x:v>
      </x:c>
      <x:c r="J17" s="17" t="n">
        <x:f>1-I17</x:f>
        <x:v>-0.23221158094200223</x:v>
      </x:c>
      <x:c r="K17" s="16" t="n">
        <x:f>G17-G5</x:f>
        <x:v>0.8112500000000047</x:v>
      </x:c>
      <x:c r="L17" s="17" t="n">
        <x:f>POWER(2,-K17)</x:f>
        <x:v>0.5698878737466179</x:v>
      </x:c>
      <x:c r="M17" t="str">
        <x:v>描述性；仅技术复孔；效率相当假设</x:v>
      </x:c>
    </x:row>
    <x:row r="18">
      <x:c r="A18" t="str">
        <x:v>siZNF436-4</x:v>
      </x:c>
      <x:c r="B18" t="str">
        <x:v>FBN2-1</x:v>
      </x:c>
      <x:c r="C18" s="16" t="n">
        <x:f>'Replicate_QC'!H28</x:f>
        <x:v>24.265</x:v>
      </x:c>
      <x:c r="D18" s="16" t="n">
        <x:f>'Replicate_QC'!H26</x:f>
        <x:v>16.835</x:v>
      </x:c>
      <x:c r="E18" s="16" t="n">
        <x:f>'Replicate_QC'!H27</x:f>
        <x:v>25.572499999999998</x:v>
      </x:c>
      <x:c r="F18" s="16" t="n">
        <x:f>AVERAGE(D18,E18)</x:f>
        <x:v>21.20375</x:v>
      </x:c>
      <x:c r="G18" s="16" t="n">
        <x:f>C18-F18</x:f>
        <x:v>3.061250000000001</x:v>
      </x:c>
      <x:c r="H18" s="16" t="n">
        <x:f>G18-G6</x:f>
        <x:v>-0.08374999999999844</x:v>
      </x:c>
      <x:c r="I18" s="17" t="n">
        <x:f>POWER(2,-H18)</x:f>
        <x:v>1.0597691234898239</x:v>
      </x:c>
      <x:c r="J18" s="17" t="n">
        <x:f>1-I18</x:f>
        <x:v>-0.05976912348982388</x:v>
      </x:c>
      <x:c r="K18" s="16" t="n">
        <x:f>G18-G2</x:f>
        <x:v>0.04375000000000284</x:v>
      </x:c>
      <x:c r="L18" s="17" t="n">
        <x:f>POWER(2,-K18)</x:f>
        <x:v>0.9701300064965852</x:v>
      </x:c>
      <x:c r="M18" t="str">
        <x:v>描述性；仅技术复孔；效率相当假设</x:v>
      </x:c>
    </x:row>
    <x:row r="19">
      <x:c r="A19" t="str">
        <x:v>siZNF436-4</x:v>
      </x:c>
      <x:c r="B19" t="str">
        <x:v>FBN2-2</x:v>
      </x:c>
      <x:c r="C19" s="16" t="n">
        <x:f>'Replicate_QC'!H29</x:f>
        <x:v>24.6125</x:v>
      </x:c>
      <x:c r="D19" s="16" t="n">
        <x:f>'Replicate_QC'!H26</x:f>
        <x:v>16.835</x:v>
      </x:c>
      <x:c r="E19" s="16" t="n">
        <x:f>'Replicate_QC'!H27</x:f>
        <x:v>25.572499999999998</x:v>
      </x:c>
      <x:c r="F19" s="16" t="n">
        <x:f>AVERAGE(D19,E19)</x:f>
        <x:v>21.20375</x:v>
      </x:c>
      <x:c r="G19" s="16" t="n">
        <x:f>C19-F19</x:f>
        <x:v>3.4087500000000013</x:v>
      </x:c>
      <x:c r="H19" s="16" t="n">
        <x:f>G19-G7</x:f>
        <x:v>0.20624999999999716</x:v>
      </x:c>
      <x:c r="I19" s="17" t="n">
        <x:f>POWER(2,-H19)</x:f>
        <x:v>0.866787347698305</x:v>
      </x:c>
      <x:c r="J19" s="17" t="n">
        <x:f>1-I19</x:f>
        <x:v>0.133212652301695</x:v>
      </x:c>
      <x:c r="K19" s="16" t="n">
        <x:f>G19-G3</x:f>
        <x:v>0.3412500000000023</x:v>
      </x:c>
      <x:c r="L19" s="17" t="n">
        <x:f>POWER(2,-K19)</x:f>
        <x:v>0.789357089688045</x:v>
      </x:c>
      <x:c r="M19" t="str">
        <x:v>描述性；仅技术复孔；效率相当假设</x:v>
      </x:c>
    </x:row>
    <x:row r="20">
      <x:c r="A20" t="str">
        <x:v>siZNF436-4</x:v>
      </x:c>
      <x:c r="B20" t="str">
        <x:v>ZNF436-1</x:v>
      </x:c>
      <x:c r="C20" s="16" t="n">
        <x:f>'Replicate_QC'!H30</x:f>
        <x:v>29.9075</x:v>
      </x:c>
      <x:c r="D20" s="16" t="n">
        <x:f>'Replicate_QC'!H26</x:f>
        <x:v>16.835</x:v>
      </x:c>
      <x:c r="E20" s="16" t="n">
        <x:f>'Replicate_QC'!H27</x:f>
        <x:v>25.572499999999998</x:v>
      </x:c>
      <x:c r="F20" s="16" t="n">
        <x:f>AVERAGE(D20,E20)</x:f>
        <x:v>21.20375</x:v>
      </x:c>
      <x:c r="G20" s="16" t="n">
        <x:f>C20-F20</x:f>
        <x:v>8.70375</x:v>
      </x:c>
      <x:c r="H20" s="16" t="n">
        <x:f>G20-G8</x:f>
        <x:v>1.8937500000000007</x:v>
      </x:c>
      <x:c r="I20" s="17" t="n">
        <x:f>POWER(2,-H20)</x:f>
        <x:v>0.2691066597863982</x:v>
      </x:c>
      <x:c r="J20" s="17" t="n">
        <x:f>1-I20</x:f>
        <x:v>0.7308933402136017</x:v>
      </x:c>
      <x:c r="K20" s="16" t="n">
        <x:f>G20-G4</x:f>
        <x:v>1.9887500000000031</x:v>
      </x:c>
      <x:c r="L20" s="17" t="n">
        <x:f>POWER(2,-K20)</x:f>
        <x:v>0.2519570971577999</x:v>
      </x:c>
      <x:c r="M20" t="str">
        <x:v>描述性；仅技术复孔；效率相当假设</x:v>
      </x:c>
    </x:row>
    <x:row r="21">
      <x:c r="A21" t="str">
        <x:v>siZNF436-4</x:v>
      </x:c>
      <x:c r="B21" t="str">
        <x:v>ZNF436-2</x:v>
      </x:c>
      <x:c r="C21" s="16" t="n">
        <x:f>'Replicate_QC'!H31</x:f>
        <x:v>26.717499999999998</x:v>
      </x:c>
      <x:c r="D21" s="16" t="n">
        <x:f>'Replicate_QC'!H26</x:f>
        <x:v>16.835</x:v>
      </x:c>
      <x:c r="E21" s="16" t="n">
        <x:f>'Replicate_QC'!H27</x:f>
        <x:v>25.572499999999998</x:v>
      </x:c>
      <x:c r="F21" s="16" t="n">
        <x:f>AVERAGE(D21,E21)</x:f>
        <x:v>21.20375</x:v>
      </x:c>
      <x:c r="G21" s="16" t="n">
        <x:f>C21-F21</x:f>
        <x:v>5.513749999999998</x:v>
      </x:c>
      <x:c r="H21" s="16" t="n">
        <x:f>G21-G9</x:f>
        <x:v>-0.9062500000000036</x:v>
      </x:c>
      <x:c r="I21" s="17" t="n">
        <x:f>POWER(2,-H21)</x:f>
        <x:v>1.8741676341103046</x:v>
      </x:c>
      <x:c r="J21" s="17" t="n">
        <x:f>1-I21</x:f>
        <x:v>-0.8741676341103046</x:v>
      </x:c>
      <x:c r="K21" s="16" t="n">
        <x:f>G21-G5</x:f>
        <x:v>0.2062500000000007</x:v>
      </x:c>
      <x:c r="L21" s="17" t="n">
        <x:f>POWER(2,-K21)</x:f>
        <x:v>0.8667873476983029</x:v>
      </x:c>
      <x:c r="M21" t="str">
        <x:v>描述性；仅技术复孔；效率相当假设</x:v>
      </x:c>
    </x:row>
    <x:row r="22">
      <x:c r="A22" t="str">
        <x:v>siFBN2-2</x:v>
      </x:c>
      <x:c r="B22" t="str">
        <x:v>FBN2-1</x:v>
      </x:c>
      <x:c r="C22" s="16" t="n">
        <x:f>'Replicate_QC'!H34</x:f>
        <x:v>26.4175</x:v>
      </x:c>
      <x:c r="D22" s="16" t="n">
        <x:f>'Replicate_QC'!H32</x:f>
        <x:v>16.085</x:v>
      </x:c>
      <x:c r="E22" s="16" t="n">
        <x:f>'Replicate_QC'!H33</x:f>
        <x:v>24.645000000000003</x:v>
      </x:c>
      <x:c r="F22" s="16" t="n">
        <x:f>AVERAGE(D22,E22)</x:f>
        <x:v>20.365000000000002</x:v>
      </x:c>
      <x:c r="G22" s="16" t="n">
        <x:f>C22-F22</x:f>
        <x:v>6.052499999999998</x:v>
      </x:c>
      <x:c r="H22" s="16" t="n">
        <x:f>G22-G6</x:f>
        <x:v>2.907499999999999</x:v>
      </x:c>
      <x:c r="I22" s="17" t="n">
        <x:f>POWER(2,-H22)</x:f>
        <x:v>0.1332770243020632</x:v>
      </x:c>
      <x:c r="J22" s="17" t="n">
        <x:f>1-I22</x:f>
        <x:v>0.8667229756979368</x:v>
      </x:c>
      <x:c r="K22" s="16" t="n">
        <x:f>G22-G2</x:f>
        <x:v>3.035</x:v>
      </x:c>
      <x:c r="L22" s="17" t="n">
        <x:f>POWER(2,-K22)</x:f>
        <x:v>0.12200397009702807</x:v>
      </x:c>
      <x:c r="M22" t="str">
        <x:v>描述性；仅技术复孔；效率相当假设</x:v>
      </x:c>
    </x:row>
    <x:row r="23">
      <x:c r="A23" t="str">
        <x:v>siFBN2-2</x:v>
      </x:c>
      <x:c r="B23" t="str">
        <x:v>FBN2-2</x:v>
      </x:c>
      <x:c r="C23" s="16" t="n">
        <x:f>'Replicate_QC'!H35</x:f>
        <x:v>26.152499999999996</x:v>
      </x:c>
      <x:c r="D23" s="16" t="n">
        <x:f>'Replicate_QC'!H32</x:f>
        <x:v>16.085</x:v>
      </x:c>
      <x:c r="E23" s="16" t="n">
        <x:f>'Replicate_QC'!H33</x:f>
        <x:v>24.645000000000003</x:v>
      </x:c>
      <x:c r="F23" s="16" t="n">
        <x:f>AVERAGE(D23,E23)</x:f>
        <x:v>20.365000000000002</x:v>
      </x:c>
      <x:c r="G23" s="16" t="n">
        <x:f>C23-F23</x:f>
        <x:v>5.787499999999994</x:v>
      </x:c>
      <x:c r="H23" s="16" t="n">
        <x:f>G23-G7</x:f>
        <x:v>2.58499999999999</x:v>
      </x:c>
      <x:c r="I23" s="17" t="n">
        <x:f>POWER(2,-H23)</x:f>
        <x:v>0.16666233463640096</x:v>
      </x:c>
      <x:c r="J23" s="17" t="n">
        <x:f>1-I23</x:f>
        <x:v>0.8333376653635991</x:v>
      </x:c>
      <x:c r="K23" s="16" t="n">
        <x:f>G23-G3</x:f>
        <x:v>2.7199999999999953</x:v>
      </x:c>
      <x:c r="L23" s="17" t="n">
        <x:f>POWER(2,-K23)</x:f>
        <x:v>0.15177436054938134</x:v>
      </x:c>
      <x:c r="M23" t="str">
        <x:v>描述性；仅技术复孔；效率相当假设</x:v>
      </x:c>
    </x:row>
    <x:row r="24">
      <x:c r="A24" t="str">
        <x:v>siFBN2-2</x:v>
      </x:c>
      <x:c r="B24" t="str">
        <x:v>ZNF436-1</x:v>
      </x:c>
      <x:c r="C24" s="16" t="n">
        <x:f>'Replicate_QC'!H36</x:f>
        <x:v>27.455000000000002</x:v>
      </x:c>
      <x:c r="D24" s="16" t="n">
        <x:f>'Replicate_QC'!H32</x:f>
        <x:v>16.085</x:v>
      </x:c>
      <x:c r="E24" s="16" t="n">
        <x:f>'Replicate_QC'!H33</x:f>
        <x:v>24.645000000000003</x:v>
      </x:c>
      <x:c r="F24" s="16" t="n">
        <x:f>AVERAGE(D24,E24)</x:f>
        <x:v>20.365000000000002</x:v>
      </x:c>
      <x:c r="G24" s="16" t="n">
        <x:f>C24-F24</x:f>
        <x:v>7.09</x:v>
      </x:c>
      <x:c r="H24" s="16" t="n">
        <x:f>G24-G8</x:f>
        <x:v>0.28000000000000114</x:v>
      </x:c>
      <x:c r="I24" s="17" t="n">
        <x:f>POWER(2,-H24)</x:f>
        <x:v>0.8235910172675724</x:v>
      </x:c>
      <x:c r="J24" s="17" t="n">
        <x:f>1-I24</x:f>
        <x:v>0.17640898273242756</x:v>
      </x:c>
      <x:c r="K24" s="16" t="n">
        <x:f>G24-G4</x:f>
        <x:v>0.37500000000000355</x:v>
      </x:c>
      <x:c r="L24" s="17" t="n">
        <x:f>POWER(2,-K24)</x:f>
        <x:v>0.7711054127039685</x:v>
      </x:c>
      <x:c r="M24" t="str">
        <x:v>描述性；仅技术复孔；效率相当假设</x:v>
      </x:c>
    </x:row>
    <x:row r="25">
      <x:c r="A25" t="str">
        <x:v>siFBN2-2</x:v>
      </x:c>
      <x:c r="B25" t="str">
        <x:v>ZNF436-2</x:v>
      </x:c>
      <x:c r="C25" s="16" t="n">
        <x:f>'Replicate_QC'!H37</x:f>
        <x:v>26.5675</x:v>
      </x:c>
      <x:c r="D25" s="16" t="n">
        <x:f>'Replicate_QC'!H32</x:f>
        <x:v>16.085</x:v>
      </x:c>
      <x:c r="E25" s="16" t="n">
        <x:f>'Replicate_QC'!H33</x:f>
        <x:v>24.645000000000003</x:v>
      </x:c>
      <x:c r="F25" s="16" t="n">
        <x:f>AVERAGE(D25,E25)</x:f>
        <x:v>20.365000000000002</x:v>
      </x:c>
      <x:c r="G25" s="16" t="n">
        <x:f>C25-F25</x:f>
        <x:v>6.202499999999997</x:v>
      </x:c>
      <x:c r="H25" s="16" t="n">
        <x:f>G25-G9</x:f>
        <x:v>-0.2175000000000047</x:v>
      </x:c>
      <x:c r="I25" s="17" t="n">
        <x:f>POWER(2,-H25)</x:f>
        <x:v>1.162717004704126</x:v>
      </x:c>
      <x:c r="J25" s="17" t="n">
        <x:f>1-I25</x:f>
        <x:v>-0.16271700470412598</x:v>
      </x:c>
      <x:c r="K25" s="16" t="n">
        <x:f>G25-G5</x:f>
        <x:v>0.8949999999999996</x:v>
      </x:c>
      <x:c r="L25" s="17" t="n">
        <x:f>POWER(2,-K25)</x:f>
        <x:v>0.5377471952286893</x:v>
      </x:c>
      <x:c r="M25" t="str">
        <x:v>描述性；仅技术复孔；效率相当假设</x:v>
      </x:c>
    </x:row>
    <x:row r="26">
      <x:c r="A26" t="str">
        <x:v>siFBN2-3</x:v>
      </x:c>
      <x:c r="B26" t="str">
        <x:v>FBN2-1</x:v>
      </x:c>
      <x:c r="C26" s="16" t="n">
        <x:f>'Replicate_QC'!H40</x:f>
        <x:v>27.0925</x:v>
      </x:c>
      <x:c r="D26" s="16" t="n">
        <x:f>'Replicate_QC'!H38</x:f>
        <x:v>15.9575</x:v>
      </x:c>
      <x:c r="E26" s="16" t="n">
        <x:f>'Replicate_QC'!H39</x:f>
        <x:v>24.865000000000002</x:v>
      </x:c>
      <x:c r="F26" s="16" t="n">
        <x:f>AVERAGE(D26,E26)</x:f>
        <x:v>20.411250000000003</x:v>
      </x:c>
      <x:c r="G26" s="16" t="n">
        <x:f>C26-F26</x:f>
        <x:v>6.681249999999999</x:v>
      </x:c>
      <x:c r="H26" s="16" t="n">
        <x:f>G26-G6</x:f>
        <x:v>3.536249999999999</x:v>
      </x:c>
      <x:c r="I26" s="17" t="n">
        <x:f>POWER(2,-H26)</x:f>
        <x:v>0.0861951198438951</x:v>
      </x:c>
      <x:c r="J26" s="17" t="n">
        <x:f>1-I26</x:f>
        <x:v>0.913804880156105</x:v>
      </x:c>
      <x:c r="K26" s="16" t="n">
        <x:f>G26-G2</x:f>
        <x:v>3.6637500000000003</x:v>
      </x:c>
      <x:c r="L26" s="17" t="n">
        <x:f>POWER(2,-K26)</x:f>
        <x:v>0.07890442391713522</x:v>
      </x:c>
      <x:c r="M26" t="str">
        <x:v>描述性；仅技术复孔；效率相当假设</x:v>
      </x:c>
    </x:row>
    <x:row r="27">
      <x:c r="A27" t="str">
        <x:v>siFBN2-3</x:v>
      </x:c>
      <x:c r="B27" t="str">
        <x:v>FBN2-2</x:v>
      </x:c>
      <x:c r="C27" s="16" t="n">
        <x:f>'Replicate_QC'!H41</x:f>
        <x:v>26.985</x:v>
      </x:c>
      <x:c r="D27" s="16" t="n">
        <x:f>'Replicate_QC'!H38</x:f>
        <x:v>15.9575</x:v>
      </x:c>
      <x:c r="E27" s="16" t="n">
        <x:f>'Replicate_QC'!H39</x:f>
        <x:v>24.865000000000002</x:v>
      </x:c>
      <x:c r="F27" s="16" t="n">
        <x:f>AVERAGE(D27,E27)</x:f>
        <x:v>20.411250000000003</x:v>
      </x:c>
      <x:c r="G27" s="16" t="n">
        <x:f>C27-F27</x:f>
        <x:v>6.573749999999997</x:v>
      </x:c>
      <x:c r="H27" s="16" t="n">
        <x:f>G27-G7</x:f>
        <x:v>3.3712499999999928</x:v>
      </x:c>
      <x:c r="I27" s="17" t="n">
        <x:f>POWER(2,-H27)</x:f>
        <x:v>0.09663904446057758</x:v>
      </x:c>
      <x:c r="J27" s="17" t="n">
        <x:f>1-I27</x:f>
        <x:v>0.9033609555394224</x:v>
      </x:c>
      <x:c r="K27" s="16" t="n">
        <x:f>G27-G3</x:f>
        <x:v>3.506249999999998</x:v>
      </x:c>
      <x:c r="L27" s="17" t="n">
        <x:f>POWER(2,-K27)</x:f>
        <x:v>0.08800626253740168</x:v>
      </x:c>
      <x:c r="M27" t="str">
        <x:v>描述性；仅技术复孔；效率相当假设</x:v>
      </x:c>
    </x:row>
    <x:row r="28">
      <x:c r="A28" t="str">
        <x:v>siFBN2-3</x:v>
      </x:c>
      <x:c r="B28" t="str">
        <x:v>ZNF436-1</x:v>
      </x:c>
      <x:c r="C28" s="16" t="n">
        <x:f>'Replicate_QC'!H42</x:f>
        <x:v>27.259999999999998</x:v>
      </x:c>
      <x:c r="D28" s="16" t="n">
        <x:f>'Replicate_QC'!H38</x:f>
        <x:v>15.9575</x:v>
      </x:c>
      <x:c r="E28" s="16" t="n">
        <x:f>'Replicate_QC'!H39</x:f>
        <x:v>24.865000000000002</x:v>
      </x:c>
      <x:c r="F28" s="16" t="n">
        <x:f>AVERAGE(D28,E28)</x:f>
        <x:v>20.411250000000003</x:v>
      </x:c>
      <x:c r="G28" s="16" t="n">
        <x:f>C28-F28</x:f>
        <x:v>6.8487499999999955</x:v>
      </x:c>
      <x:c r="H28" s="16" t="n">
        <x:f>G28-G8</x:f>
        <x:v>0.03874999999999673</x:v>
      </x:c>
      <x:c r="I28" s="17" t="n">
        <x:f>POWER(2,-H28)</x:f>
        <x:v>0.9734980539006678</x:v>
      </x:c>
      <x:c r="J28" s="17" t="n">
        <x:f>1-I28</x:f>
        <x:v>0.026501946099332208</x:v>
      </x:c>
      <x:c r="K28" s="16" t="n">
        <x:f>G28-G4</x:f>
        <x:v>0.13374999999999915</x:v>
      </x:c>
      <x:c r="L28" s="17" t="n">
        <x:f>POWER(2,-K28)</x:f>
        <x:v>0.9114592107986812</x:v>
      </x:c>
      <x:c r="M28" t="str">
        <x:v>描述性；仅技术复孔；效率相当假设</x:v>
      </x:c>
    </x:row>
    <x:row r="29">
      <x:c r="A29" t="str">
        <x:v>siFBN2-3</x:v>
      </x:c>
      <x:c r="B29" t="str">
        <x:v>ZNF436-2</x:v>
      </x:c>
      <x:c r="C29" s="16" t="n">
        <x:f>'Replicate_QC'!H43</x:f>
        <x:v>25.785000000000004</x:v>
      </x:c>
      <x:c r="D29" s="16" t="n">
        <x:f>'Replicate_QC'!H38</x:f>
        <x:v>15.9575</x:v>
      </x:c>
      <x:c r="E29" s="16" t="n">
        <x:f>'Replicate_QC'!H39</x:f>
        <x:v>24.865000000000002</x:v>
      </x:c>
      <x:c r="F29" s="16" t="n">
        <x:f>AVERAGE(D29,E29)</x:f>
        <x:v>20.411250000000003</x:v>
      </x:c>
      <x:c r="G29" s="16" t="n">
        <x:f>C29-F29</x:f>
        <x:v>5.373750000000001</x:v>
      </x:c>
      <x:c r="H29" s="16" t="n">
        <x:f>G29-G9</x:f>
        <x:v>-1.0462500000000006</x:v>
      </x:c>
      <x:c r="I29" s="17" t="n">
        <x:f>POWER(2,-H29)</x:f>
        <x:v>2.065154904036504</x:v>
      </x:c>
      <x:c r="J29" s="17" t="n">
        <x:f>1-I29</x:f>
        <x:v>-1.065154904036504</x:v>
      </x:c>
      <x:c r="K29" s="16" t="n">
        <x:f>G29-G5</x:f>
        <x:v>0.0662500000000037</x:v>
      </x:c>
      <x:c r="L29" s="17" t="n">
        <x:f>POWER(2,-K29)</x:f>
        <x:v>0.9551174128058765</x:v>
      </x:c>
      <x:c r="M29" t="str">
        <x:v>描述性；仅技术复孔；效率相当假设</x:v>
      </x:c>
    </x:row>
    <x:row r="30">
      <x:c r="A30" t="str">
        <x:v>siFBN2-4</x:v>
      </x:c>
      <x:c r="B30" t="str">
        <x:v>FBN2-1</x:v>
      </x:c>
      <x:c r="C30" s="16" t="n">
        <x:f>'Replicate_QC'!H46</x:f>
        <x:v>26.935</x:v>
      </x:c>
      <x:c r="D30" s="16" t="n">
        <x:f>'Replicate_QC'!H44</x:f>
        <x:v>16.145</x:v>
      </x:c>
      <x:c r="E30" s="16" t="n">
        <x:f>'Replicate_QC'!H45</x:f>
        <x:v>25.1175</x:v>
      </x:c>
      <x:c r="F30" s="16" t="n">
        <x:f>AVERAGE(D30,E30)</x:f>
        <x:v>20.63125</x:v>
      </x:c>
      <x:c r="G30" s="16" t="n">
        <x:f>C30-F30</x:f>
        <x:v>6.303749999999997</x:v>
      </x:c>
      <x:c r="H30" s="16" t="n">
        <x:f>G30-G6</x:f>
        <x:v>3.1587499999999977</x:v>
      </x:c>
      <x:c r="I30" s="17" t="n">
        <x:f>POWER(2,-H30)</x:f>
        <x:v>0.11197511088834286</x:v>
      </x:c>
      <x:c r="J30" s="17" t="n">
        <x:f>1-I30</x:f>
        <x:v>0.8880248891116571</x:v>
      </x:c>
      <x:c r="K30" s="16" t="n">
        <x:f>G30-G2</x:f>
        <x:v>3.286249999999999</x:v>
      </x:c>
      <x:c r="L30" s="17" t="n">
        <x:f>POWER(2,-K30)</x:f>
        <x:v>0.10250384979687228</x:v>
      </x:c>
      <x:c r="M30" t="str">
        <x:v>描述性；仅技术复孔；效率相当假设</x:v>
      </x:c>
    </x:row>
    <x:row r="31">
      <x:c r="A31" t="str">
        <x:v>siFBN2-4</x:v>
      </x:c>
      <x:c r="B31" t="str">
        <x:v>FBN2-2</x:v>
      </x:c>
      <x:c r="C31" s="16" t="n">
        <x:f>'Replicate_QC'!H47</x:f>
        <x:v>27.187499999999996</x:v>
      </x:c>
      <x:c r="D31" s="16" t="n">
        <x:f>'Replicate_QC'!H44</x:f>
        <x:v>16.145</x:v>
      </x:c>
      <x:c r="E31" s="16" t="n">
        <x:f>'Replicate_QC'!H45</x:f>
        <x:v>25.1175</x:v>
      </x:c>
      <x:c r="F31" s="16" t="n">
        <x:f>AVERAGE(D31,E31)</x:f>
        <x:v>20.63125</x:v>
      </x:c>
      <x:c r="G31" s="16" t="n">
        <x:f>C31-F31</x:f>
        <x:v>6.556249999999995</x:v>
      </x:c>
      <x:c r="H31" s="16" t="n">
        <x:f>G31-G7</x:f>
        <x:v>3.353749999999991</x:v>
      </x:c>
      <x:c r="I31" s="17" t="n">
        <x:f>POWER(2,-H31)</x:f>
        <x:v>0.0978184218893231</x:v>
      </x:c>
      <x:c r="J31" s="17" t="n">
        <x:f>1-I31</x:f>
        <x:v>0.9021815781106769</x:v>
      </x:c>
      <x:c r="K31" s="16" t="n">
        <x:f>G31-G3</x:f>
        <x:v>3.488749999999996</x:v>
      </x:c>
      <x:c r="L31" s="17" t="n">
        <x:f>POWER(2,-K31)</x:f>
        <x:v>0.0890802859841795</x:v>
      </x:c>
      <x:c r="M31" t="str">
        <x:v>描述性；仅技术复孔；效率相当假设</x:v>
      </x:c>
    </x:row>
    <x:row r="32">
      <x:c r="A32" t="str">
        <x:v>siFBN2-4</x:v>
      </x:c>
      <x:c r="B32" t="str">
        <x:v>ZNF436-1</x:v>
      </x:c>
      <x:c r="C32" s="16" t="n">
        <x:f>'Replicate_QC'!H48</x:f>
        <x:v>27.5425</x:v>
      </x:c>
      <x:c r="D32" s="16" t="n">
        <x:f>'Replicate_QC'!H44</x:f>
        <x:v>16.145</x:v>
      </x:c>
      <x:c r="E32" s="16" t="n">
        <x:f>'Replicate_QC'!H45</x:f>
        <x:v>25.1175</x:v>
      </x:c>
      <x:c r="F32" s="16" t="n">
        <x:f>AVERAGE(D32,E32)</x:f>
        <x:v>20.63125</x:v>
      </x:c>
      <x:c r="G32" s="16" t="n">
        <x:f>C32-F32</x:f>
        <x:v>6.911249999999999</x:v>
      </x:c>
      <x:c r="H32" s="16" t="n">
        <x:f>G32-G8</x:f>
        <x:v>0.10125000000000028</x:v>
      </x:c>
      <x:c r="I32" s="17" t="n">
        <x:f>POWER(2,-H32)</x:f>
        <x:v>0.932224930168954</x:v>
      </x:c>
      <x:c r="J32" s="17" t="n">
        <x:f>1-I32</x:f>
        <x:v>0.06777506983104598</x:v>
      </x:c>
      <x:c r="K32" s="16" t="n">
        <x:f>G32-G4</x:f>
        <x:v>0.1962500000000027</x:v>
      </x:c>
      <x:c r="L32" s="17" t="n">
        <x:f>POWER(2,-K32)</x:f>
        <x:v>0.8728163304837477</x:v>
      </x:c>
      <x:c r="M32" t="str">
        <x:v>描述性；仅技术复孔；效率相当假设</x:v>
      </x:c>
    </x:row>
    <x:row r="33">
      <x:c r="A33" t="str">
        <x:v>siFBN2-4</x:v>
      </x:c>
      <x:c r="B33" t="str">
        <x:v>ZNF436-2</x:v>
      </x:c>
      <x:c r="C33" s="16" t="n">
        <x:f>'Replicate_QC'!H49</x:f>
        <x:v>25.4775</x:v>
      </x:c>
      <x:c r="D33" s="16" t="n">
        <x:f>'Replicate_QC'!H44</x:f>
        <x:v>16.145</x:v>
      </x:c>
      <x:c r="E33" s="16" t="n">
        <x:f>'Replicate_QC'!H45</x:f>
        <x:v>25.1175</x:v>
      </x:c>
      <x:c r="F33" s="16" t="n">
        <x:f>AVERAGE(D33,E33)</x:f>
        <x:v>20.63125</x:v>
      </x:c>
      <x:c r="G33" s="16" t="n">
        <x:f>C33-F33</x:f>
        <x:v>4.846249999999998</x:v>
      </x:c>
      <x:c r="H33" s="16" t="n">
        <x:f>G33-G9</x:f>
        <x:v>-1.573750000000004</x:v>
      </x:c>
      <x:c r="I33" s="17" t="n">
        <x:f>POWER(2,-H33)</x:f>
        <x:v>2.9767746299012754</x:v>
      </x:c>
      <x:c r="J33" s="17" t="n">
        <x:f>1-I33</x:f>
        <x:v>-1.9767746299012754</x:v>
      </x:c>
      <x:c r="K33" s="16" t="n">
        <x:f>G33-G5</x:f>
        <x:v>-0.4612499999999997</x:v>
      </x:c>
      <x:c r="L33" s="17" t="n">
        <x:f>POWER(2,-K33)</x:f>
        <x:v>1.3767341507701354</x:v>
      </x:c>
      <x:c r="M33" t="str">
        <x:v>描述性；仅技术复孔；效率相当假设</x:v>
      </x:c>
    </x:row>
    <x:row r="34">
      <x:c r="A34" t="str">
        <x:v>siZNF436-1</x:v>
      </x:c>
      <x:c r="B34" t="str">
        <x:v>FBN2-1</x:v>
      </x:c>
      <x:c r="C34" s="16" t="n">
        <x:f>'Replicate_QC'!H52</x:f>
        <x:v>23.655</x:v>
      </x:c>
      <x:c r="D34" s="16" t="n">
        <x:f>'Replicate_QC'!H50</x:f>
        <x:v>16</x:v>
      </x:c>
      <x:c r="E34" s="16" t="n">
        <x:f>'Replicate_QC'!H51</x:f>
        <x:v>24.79</x:v>
      </x:c>
      <x:c r="F34" s="16" t="n">
        <x:f>AVERAGE(D34,E34)</x:f>
        <x:v>20.395</x:v>
      </x:c>
      <x:c r="G34" s="16" t="n">
        <x:f>C34-F34</x:f>
        <x:v>3.2600000000000016</x:v>
      </x:c>
      <x:c r="H34" s="16" t="n">
        <x:f>G34-G6</x:f>
        <x:v>0.11500000000000199</x:v>
      </x:c>
      <x:c r="I34" s="17" t="n">
        <x:f>POWER(2,-H34)</x:f>
        <x:v>0.9233823107293936</x:v>
      </x:c>
      <x:c r="J34" s="17" t="n">
        <x:f>1-I34</x:f>
        <x:v>0.07661768927060641</x:v>
      </x:c>
      <x:c r="K34" s="16" t="n">
        <x:f>G34-G2</x:f>
        <x:v>0.24250000000000327</x:v>
      </x:c>
      <x:c r="L34" s="17" t="n">
        <x:f>POWER(2,-K34)</x:f>
        <x:v>0.8452792851303901</x:v>
      </x:c>
      <x:c r="M34" t="str">
        <x:v>描述性；仅技术复孔；效率相当假设</x:v>
      </x:c>
    </x:row>
    <x:row r="35">
      <x:c r="A35" t="str">
        <x:v>siZNF436-1</x:v>
      </x:c>
      <x:c r="B35" t="str">
        <x:v>FBN2-2</x:v>
      </x:c>
      <x:c r="C35" s="16" t="n">
        <x:f>'Replicate_QC'!H53</x:f>
        <x:v>23.6325</x:v>
      </x:c>
      <x:c r="D35" s="16" t="n">
        <x:f>'Replicate_QC'!H50</x:f>
        <x:v>16</x:v>
      </x:c>
      <x:c r="E35" s="16" t="n">
        <x:f>'Replicate_QC'!H51</x:f>
        <x:v>24.79</x:v>
      </x:c>
      <x:c r="F35" s="16" t="n">
        <x:f>AVERAGE(D35,E35)</x:f>
        <x:v>20.395</x:v>
      </x:c>
      <x:c r="G35" s="16" t="n">
        <x:f>C35-F35</x:f>
        <x:v>3.2375000000000007</x:v>
      </x:c>
      <x:c r="H35" s="16" t="n">
        <x:f>G35-G7</x:f>
        <x:v>0.03499999999999659</x:v>
      </x:c>
      <x:c r="I35" s="17" t="n">
        <x:f>POWER(2,-H35)</x:f>
        <x:v>0.9760317607762269</x:v>
      </x:c>
      <x:c r="J35" s="17" t="n">
        <x:f>1-I35</x:f>
        <x:v>0.023968239223773113</x:v>
      </x:c>
      <x:c r="K35" s="16" t="n">
        <x:f>G35-G3</x:f>
        <x:v>0.1700000000000017</x:v>
      </x:c>
      <x:c r="L35" s="17" t="n">
        <x:f>POWER(2,-K35)</x:f>
        <x:v>0.8888426811665692</x:v>
      </x:c>
      <x:c r="M35" t="str">
        <x:v>描述性；仅技术复孔；效率相当假设</x:v>
      </x:c>
    </x:row>
    <x:row r="36">
      <x:c r="A36" t="str">
        <x:v>siZNF436-1</x:v>
      </x:c>
      <x:c r="B36" t="str">
        <x:v>ZNF436-1</x:v>
      </x:c>
      <x:c r="C36" s="16" t="n">
        <x:f>'Replicate_QC'!H54</x:f>
        <x:v>30.102500000000003</x:v>
      </x:c>
      <x:c r="D36" s="16" t="n">
        <x:f>'Replicate_QC'!H50</x:f>
        <x:v>16</x:v>
      </x:c>
      <x:c r="E36" s="16" t="n">
        <x:f>'Replicate_QC'!H51</x:f>
        <x:v>24.79</x:v>
      </x:c>
      <x:c r="F36" s="16" t="n">
        <x:f>AVERAGE(D36,E36)</x:f>
        <x:v>20.395</x:v>
      </x:c>
      <x:c r="G36" s="16" t="n">
        <x:f>C36-F36</x:f>
        <x:v>9.707500000000003</x:v>
      </x:c>
      <x:c r="H36" s="16" t="n">
        <x:f>G36-G8</x:f>
        <x:v>2.8975000000000044</x:v>
      </x:c>
      <x:c r="I36" s="17" t="n">
        <x:f>POWER(2,-H36)</x:f>
        <x:v>0.13420403931600622</x:v>
      </x:c>
      <x:c r="J36" s="17" t="n">
        <x:f>1-I36</x:f>
        <x:v>0.8657959606839938</x:v>
      </x:c>
      <x:c r="K36" s="16" t="n">
        <x:f>G36-G4</x:f>
        <x:v>2.992500000000007</x:v>
      </x:c>
      <x:c r="L36" s="17" t="n">
        <x:f>POWER(2,-K36)</x:f>
        <x:v>0.12565151750518389</x:v>
      </x:c>
      <x:c r="M36" t="str">
        <x:v>描述性；仅技术复孔；效率相当假设</x:v>
      </x:c>
    </x:row>
    <x:row r="37">
      <x:c r="A37" t="str">
        <x:v>siZNF436-1</x:v>
      </x:c>
      <x:c r="B37" t="str">
        <x:v>ZNF436-2</x:v>
      </x:c>
      <x:c r="C37" s="16" t="n">
        <x:f>'Replicate_QC'!H55</x:f>
        <x:v>25.224999999999998</x:v>
      </x:c>
      <x:c r="D37" s="16" t="n">
        <x:f>'Replicate_QC'!H50</x:f>
        <x:v>16</x:v>
      </x:c>
      <x:c r="E37" s="16" t="n">
        <x:f>'Replicate_QC'!H51</x:f>
        <x:v>24.79</x:v>
      </x:c>
      <x:c r="F37" s="16" t="n">
        <x:f>AVERAGE(D37,E37)</x:f>
        <x:v>20.395</x:v>
      </x:c>
      <x:c r="G37" s="16" t="n">
        <x:f>C37-F37</x:f>
        <x:v>4.829999999999998</x:v>
      </x:c>
      <x:c r="H37" s="16" t="n">
        <x:f>G37-G9</x:f>
        <x:v>-1.5900000000000034</x:v>
      </x:c>
      <x:c r="I37" s="17" t="n">
        <x:f>POWER(2,-H37)</x:f>
        <x:v>3.010493494822142</x:v>
      </x:c>
      <x:c r="J37" s="17" t="n">
        <x:f>1-I37</x:f>
        <x:v>-2.010493494822142</x:v>
      </x:c>
      <x:c r="K37" s="16" t="n">
        <x:f>G37-G5</x:f>
        <x:v>-0.47749999999999915</x:v>
      </x:c>
      <x:c r="L37" s="17" t="n">
        <x:f>POWER(2,-K37)</x:f>
        <x:v>1.3923288526314923</x:v>
      </x:c>
      <x:c r="M37" t="str">
        <x:v>描述性；仅技术复孔；效率相当假设</x:v>
      </x:c>
    </x:row>
    <x:row r="38">
      <x:c r="A38" t="str">
        <x:v>siZNF436-2</x:v>
      </x:c>
      <x:c r="B38" t="str">
        <x:v>FBN2-1</x:v>
      </x:c>
      <x:c r="C38" s="16" t="n">
        <x:f>'Replicate_QC'!H58</x:f>
        <x:v>23.665</x:v>
      </x:c>
      <x:c r="D38" s="16" t="n">
        <x:f>'Replicate_QC'!H56</x:f>
        <x:v>16.0175</x:v>
      </x:c>
      <x:c r="E38" s="16" t="n">
        <x:f>'Replicate_QC'!H57</x:f>
        <x:v>24.974999999999998</x:v>
      </x:c>
      <x:c r="F38" s="16" t="n">
        <x:f>AVERAGE(D38,E38)</x:f>
        <x:v>20.496249999999996</x:v>
      </x:c>
      <x:c r="G38" s="16" t="n">
        <x:f>C38-F38</x:f>
        <x:v>3.168750000000003</x:v>
      </x:c>
      <x:c r="H38" s="16" t="n">
        <x:f>G38-G6</x:f>
        <x:v>0.02375000000000327</x:v>
      </x:c>
      <x:c r="I38" s="17" t="n">
        <x:f>POWER(2,-H38)</x:f>
        <x:v>0.9836725167159749</x:v>
      </x:c>
      <x:c r="J38" s="17" t="n">
        <x:f>1-I38</x:f>
        <x:v>0.016327483284025113</x:v>
      </x:c>
      <x:c r="K38" s="16" t="n">
        <x:f>G38-G2</x:f>
        <x:v>0.15125000000000455</x:v>
      </x:c>
      <x:c r="L38" s="17" t="n">
        <x:f>POWER(2,-K38)</x:f>
        <x:v>0.9004699267796173</x:v>
      </x:c>
      <x:c r="M38" t="str">
        <x:v>描述性；仅技术复孔；效率相当假设</x:v>
      </x:c>
    </x:row>
    <x:row r="39">
      <x:c r="A39" t="str">
        <x:v>siZNF436-2</x:v>
      </x:c>
      <x:c r="B39" t="str">
        <x:v>FBN2-2</x:v>
      </x:c>
      <x:c r="C39" s="16" t="n">
        <x:f>'Replicate_QC'!H59</x:f>
        <x:v>23.674999999999997</x:v>
      </x:c>
      <x:c r="D39" s="16" t="n">
        <x:f>'Replicate_QC'!H56</x:f>
        <x:v>16.0175</x:v>
      </x:c>
      <x:c r="E39" s="16" t="n">
        <x:f>'Replicate_QC'!H57</x:f>
        <x:v>24.974999999999998</x:v>
      </x:c>
      <x:c r="F39" s="16" t="n">
        <x:f>AVERAGE(D39,E39)</x:f>
        <x:v>20.496249999999996</x:v>
      </x:c>
      <x:c r="G39" s="16" t="n">
        <x:f>C39-F39</x:f>
        <x:v>3.178750000000001</x:v>
      </x:c>
      <x:c r="H39" s="16" t="n">
        <x:f>G39-G7</x:f>
        <x:v>-0.02375000000000327</x:v>
      </x:c>
      <x:c r="I39" s="17" t="n">
        <x:f>POWER(2,-H39)</x:f>
        <x:v>1.0165984949325768</x:v>
      </x:c>
      <x:c r="J39" s="17" t="n">
        <x:f>1-I39</x:f>
        <x:v>-0.016598494932576813</x:v>
      </x:c>
      <x:c r="K39" s="16" t="n">
        <x:f>G39-G3</x:f>
        <x:v>0.11125000000000185</x:v>
      </x:c>
      <x:c r="L39" s="17" t="n">
        <x:f>POWER(2,-K39)</x:f>
        <x:v>0.9257855822101021</x:v>
      </x:c>
      <x:c r="M39" t="str">
        <x:v>描述性；仅技术复孔；效率相当假设</x:v>
      </x:c>
    </x:row>
    <x:row r="40">
      <x:c r="A40" t="str">
        <x:v>siZNF436-2</x:v>
      </x:c>
      <x:c r="B40" t="str">
        <x:v>ZNF436-1</x:v>
      </x:c>
      <x:c r="C40" s="16" t="n">
        <x:f>'Replicate_QC'!H60</x:f>
        <x:v>28.979999999999997</x:v>
      </x:c>
      <x:c r="D40" s="16" t="n">
        <x:f>'Replicate_QC'!H56</x:f>
        <x:v>16.0175</x:v>
      </x:c>
      <x:c r="E40" s="16" t="n">
        <x:f>'Replicate_QC'!H57</x:f>
        <x:v>24.974999999999998</x:v>
      </x:c>
      <x:c r="F40" s="16" t="n">
        <x:f>AVERAGE(D40,E40)</x:f>
        <x:v>20.496249999999996</x:v>
      </x:c>
      <x:c r="G40" s="16" t="n">
        <x:f>C40-F40</x:f>
        <x:v>8.48375</x:v>
      </x:c>
      <x:c r="H40" s="16" t="n">
        <x:f>G40-G8</x:f>
        <x:v>1.6737500000000018</x:v>
      </x:c>
      <x:c r="I40" s="17" t="n">
        <x:f>POWER(2,-H40)</x:f>
        <x:v>0.31343756499555786</x:v>
      </x:c>
      <x:c r="J40" s="17" t="n">
        <x:f>1-I40</x:f>
        <x:v>0.6865624350044421</x:v>
      </x:c>
      <x:c r="K40" s="16" t="n">
        <x:f>G40-G4</x:f>
        <x:v>1.7687500000000043</x:v>
      </x:c>
      <x:c r="L40" s="17" t="n">
        <x:f>POWER(2,-K40)</x:f>
        <x:v>0.29346289340878523</x:v>
      </x:c>
      <x:c r="M40" t="str">
        <x:v>描述性；仅技术复孔；效率相当假设</x:v>
      </x:c>
    </x:row>
    <x:row r="41">
      <x:c r="A41" t="str">
        <x:v>siZNF436-2</x:v>
      </x:c>
      <x:c r="B41" t="str">
        <x:v>ZNF436-2</x:v>
      </x:c>
      <x:c r="C41" s="16" t="n">
        <x:f>'Replicate_QC'!H61</x:f>
        <x:v>25.2375</x:v>
      </x:c>
      <x:c r="D41" s="16" t="n">
        <x:f>'Replicate_QC'!H56</x:f>
        <x:v>16.0175</x:v>
      </x:c>
      <x:c r="E41" s="16" t="n">
        <x:f>'Replicate_QC'!H57</x:f>
        <x:v>24.974999999999998</x:v>
      </x:c>
      <x:c r="F41" s="16" t="n">
        <x:f>AVERAGE(D41,E41)</x:f>
        <x:v>20.496249999999996</x:v>
      </x:c>
      <x:c r="G41" s="16" t="n">
        <x:f>C41-F41</x:f>
        <x:v>4.741250000000004</x:v>
      </x:c>
      <x:c r="H41" s="16" t="n">
        <x:f>G41-G9</x:f>
        <x:v>-1.6787499999999973</x:v>
      </x:c>
      <x:c r="I41" s="17" t="n">
        <x:f>POWER(2,-H41)</x:f>
        <x:v>3.201504416114645</x:v>
      </x:c>
      <x:c r="J41" s="17" t="n">
        <x:f>1-I41</x:f>
        <x:v>-2.201504416114645</x:v>
      </x:c>
      <x:c r="K41" s="16" t="n">
        <x:f>G41-G5</x:f>
        <x:v>-0.566249999999993</x:v>
      </x:c>
      <x:c r="L41" s="17" t="n">
        <x:f>POWER(2,-K41)</x:f>
        <x:v>1.480669856304376</x:v>
      </x:c>
      <x:c r="M41" t="str">
        <x:v>描述性；仅技术复孔；效率相当假设</x:v>
      </x:c>
    </x:row>
  </x:sheetData>
  <x:pageMargins left="0.7" right="0.7" top="0.75" bottom="0.75" header="0.3" footer="0.3"/>
  <x:tableParts count="1">
    <x:tablePart xmlns:r="http://schemas.openxmlformats.org/officeDocument/2006/relationships" r:id="Ra69698fb9b0c49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" t="str">
        <x:v>Assay</x:v>
      </x:c>
      <x:c r="B1" s="2" t="str">
        <x:v>Wells</x:v>
      </x:c>
      <x:c r="C1" s="2" t="str">
        <x:v>Detected</x:v>
      </x:c>
      <x:c r="D1" s="2" t="str">
        <x:v>Cp_mean</x:v>
      </x:c>
      <x:c r="E1" s="2" t="str">
        <x:v>Cp_median</x:v>
      </x:c>
      <x:c r="F1" s="2" t="str">
        <x:v>Tm_mean_C</x:v>
      </x:c>
      <x:c r="G1" s="2" t="str">
        <x:v>Tm_median_C</x:v>
      </x:c>
      <x:c r="H1" s="2" t="str">
        <x:v>Tm_min_C</x:v>
      </x:c>
      <x:c r="I1" s="2" t="str">
        <x:v>Tm_max_C</x:v>
      </x:c>
      <x:c r="J1" s="2" t="str">
        <x:v>Melt_group_counts</x:v>
      </x:c>
    </x:row>
    <x:row r="2">
      <x:c r="A2" t="str">
        <x:v>GAPDH</x:v>
      </x:c>
      <x:c r="B2" t="n">
        <x:v>40</x:v>
      </x:c>
      <x:c r="C2" t="n">
        <x:v>40</x:v>
      </x:c>
      <x:c r="D2" s="10" t="n">
        <x:v>16.193</x:v>
      </x:c>
      <x:c r="E2" s="10" t="n">
        <x:v>16.09</x:v>
      </x:c>
      <x:c r="F2" s="10" t="n">
        <x:v>85.99550000000004</x:v>
      </x:c>
      <x:c r="G2" s="10" t="n">
        <x:v>86.01</x:v>
      </x:c>
      <x:c r="H2" s="10" t="n">
        <x:v>85.89</x:v>
      </x:c>
      <x:c r="I2" s="10" t="n">
        <x:v>86.08</x:v>
      </x:c>
      <x:c r="J2" t="str">
        <x:v>1:40</x:v>
      </x:c>
    </x:row>
    <x:row r="3">
      <x:c r="A3" t="str">
        <x:v>TBP</x:v>
      </x:c>
      <x:c r="B3" t="n">
        <x:v>40</x:v>
      </x:c>
      <x:c r="C3" t="n">
        <x:v>40</x:v>
      </x:c>
      <x:c r="D3" s="10" t="n">
        <x:v>25.021750000000004</x:v>
      </x:c>
      <x:c r="E3" s="10" t="n">
        <x:v>24.975</x:v>
      </x:c>
      <x:c r="F3" s="10" t="n">
        <x:v>80.281</x:v>
      </x:c>
      <x:c r="G3" s="10" t="n">
        <x:v>80.29</x:v>
      </x:c>
      <x:c r="H3" s="10" t="n">
        <x:v>80.18</x:v>
      </x:c>
      <x:c r="I3" s="10" t="n">
        <x:v>80.36</x:v>
      </x:c>
      <x:c r="J3" t="str">
        <x:v>1:40</x:v>
      </x:c>
    </x:row>
    <x:row r="4">
      <x:c r="A4" t="str">
        <x:v>FBN2-1</x:v>
      </x:c>
      <x:c r="B4" t="n">
        <x:v>40</x:v>
      </x:c>
      <x:c r="C4" t="n">
        <x:v>40</x:v>
      </x:c>
      <x:c r="D4" s="10" t="n">
        <x:v>24.631750000000004</x:v>
      </x:c>
      <x:c r="E4" s="10" t="n">
        <x:v>23.785</x:v>
      </x:c>
      <x:c r="F4" s="10" t="n">
        <x:v>79.21174999999998</x:v>
      </x:c>
      <x:c r="G4" s="10" t="n">
        <x:v>79.275</x:v>
      </x:c>
      <x:c r="H4" s="10" t="n">
        <x:v>78.75</x:v>
      </x:c>
      <x:c r="I4" s="10" t="n">
        <x:v>79.37</x:v>
      </x:c>
      <x:c r="J4" t="str">
        <x:v>2:40</x:v>
      </x:c>
    </x:row>
    <x:row r="5">
      <x:c r="A5" t="str">
        <x:v>FBN2-2</x:v>
      </x:c>
      <x:c r="B5" t="n">
        <x:v>40</x:v>
      </x:c>
      <x:c r="C5" t="n">
        <x:v>40</x:v>
      </x:c>
      <x:c r="D5" s="10" t="n">
        <x:v>24.73</x:v>
      </x:c>
      <x:c r="E5" s="10" t="n">
        <x:v>23.87</x:v>
      </x:c>
      <x:c r="F5" s="10" t="n">
        <x:v>82.30275</x:v>
      </x:c>
      <x:c r="G5" s="10" t="n">
        <x:v>83.59</x:v>
      </x:c>
      <x:c r="H5" s="10" t="n">
        <x:v>75.26</x:v>
      </x:c>
      <x:c r="I5" s="10" t="n">
        <x:v>83.86</x:v>
      </x:c>
      <x:c r="J5" t="str">
        <x:v>1:32; 4:8</x:v>
      </x:c>
    </x:row>
    <x:row r="6">
      <x:c r="A6" t="str">
        <x:v>ZNF436-1</x:v>
      </x:c>
      <x:c r="B6" t="n">
        <x:v>40</x:v>
      </x:c>
      <x:c r="C6" t="n">
        <x:v>40</x:v>
      </x:c>
      <x:c r="D6" s="10" t="n">
        <x:v>28.310000000000002</x:v>
      </x:c>
      <x:c r="E6" s="10" t="n">
        <x:v>27.630000000000003</x:v>
      </x:c>
      <x:c r="F6" s="10" t="n">
        <x:v>77.4465</x:v>
      </x:c>
      <x:c r="G6" s="10" t="n">
        <x:v>77.815</x:v>
      </x:c>
      <x:c r="H6" s="10" t="n">
        <x:v>74.48</x:v>
      </x:c>
      <x:c r="I6" s="10" t="n">
        <x:v>78</x:v>
      </x:c>
      <x:c r="J6" t="str">
        <x:v>2:27; 3:10; Unknown:3</x:v>
      </x:c>
    </x:row>
    <x:row r="7">
      <x:c r="A7" t="str">
        <x:v>ZNF436-2</x:v>
      </x:c>
      <x:c r="B7" t="n">
        <x:v>40</x:v>
      </x:c>
      <x:c r="C7" t="n">
        <x:v>40</x:v>
      </x:c>
      <x:c r="D7" s="10" t="n">
        <x:v>26.04550000000001</x:v>
      </x:c>
      <x:c r="E7" s="10" t="n">
        <x:v>25.8</x:v>
      </x:c>
      <x:c r="F7" s="10" t="n">
        <x:v>73.32225000000001</x:v>
      </x:c>
      <x:c r="G7" s="10" t="n">
        <x:v>73.21</x:v>
      </x:c>
      <x:c r="H7" s="10" t="n">
        <x:v>72.93</x:v>
      </x:c>
      <x:c r="I7" s="10" t="n">
        <x:v>74.3</x:v>
      </x:c>
      <x:c r="J7" t="str">
        <x:v>3:38; Unknown:2</x:v>
      </x:c>
    </x:row>
  </x:sheetData>
  <x:pageMargins left="0.7" right="0.7" top="0.75" bottom="0.75" header="0.3" footer="0.3"/>
  <x:tableParts count="1">
    <x:tablePart xmlns:r="http://schemas.openxmlformats.org/officeDocument/2006/relationships" r:id="R8877c225b24347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28" customHeight="1">
      <x:c r="A1" s="18" t="str">
        <x:v>修正映射 · Cp / QC 状态（样本 · Assay · 复孔）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</x:row>
    <x:row r="2">
      <x:c r="A2" s="35" t="str"/>
      <x:c r="B2" s="35" t="n">
        <x:v>1</x:v>
      </x:c>
      <x:c r="C2" s="35" t="n">
        <x:v>2</x:v>
      </x:c>
      <x:c r="D2" s="35" t="n">
        <x:v>3</x:v>
      </x:c>
      <x:c r="E2" s="35" t="n">
        <x:v>4</x:v>
      </x:c>
      <x:c r="F2" s="35" t="n">
        <x:v>5</x:v>
      </x:c>
      <x:c r="G2" s="35" t="n">
        <x:v>6</x:v>
      </x:c>
      <x:c r="H2" s="35" t="n">
        <x:v>7</x:v>
      </x:c>
      <x:c r="I2" s="35" t="n">
        <x:v>8</x:v>
      </x:c>
      <x:c r="J2" s="35" t="n">
        <x:v>9</x:v>
      </x:c>
      <x:c r="K2" s="35" t="n">
        <x:v>10</x:v>
      </x:c>
      <x:c r="L2" s="35" t="n">
        <x:v>11</x:v>
      </x:c>
      <x:c r="M2" s="35" t="n">
        <x:v>12</x:v>
      </x:c>
      <x:c r="N2" s="35" t="n">
        <x:v>13</x:v>
      </x:c>
      <x:c r="O2" s="35" t="n">
        <x:v>14</x:v>
      </x:c>
      <x:c r="P2" s="35" t="n">
        <x:v>15</x:v>
      </x:c>
      <x:c r="Q2" s="35" t="n">
        <x:v>16</x:v>
      </x:c>
      <x:c r="R2" s="35" t="n">
        <x:v>17</x:v>
      </x:c>
      <x:c r="S2" s="35" t="n">
        <x:v>18</x:v>
      </x:c>
      <x:c r="T2" s="35" t="n">
        <x:v>19</x:v>
      </x:c>
      <x:c r="U2" s="35" t="n">
        <x:v>20</x:v>
      </x:c>
      <x:c r="V2" s="35" t="n">
        <x:v>21</x:v>
      </x:c>
      <x:c r="W2" s="35" t="n">
        <x:v>22</x:v>
      </x:c>
      <x:c r="X2" s="35" t="n">
        <x:v>23</x:v>
      </x:c>
      <x:c r="Y2" s="35" t="n">
        <x:v>24</x:v>
      </x:c>
    </x:row>
    <x:row r="3" ht="52" customHeight="1">
      <x:c r="A3" s="35" t="str">
        <x:v>A</x:v>
      </x:c>
      <x:c r="B3" s="23" t="str">
        <x:v>Mock
GAPDH R1
Cp 16.46 · PASS</x:v>
      </x:c>
      <x:c r="C3" s="23" t="str">
        <x:v>Mock
GAPDH R2
Cp 16.51 · PASS</x:v>
      </x:c>
      <x:c r="D3" s="23" t="str">
        <x:v>Mock
GAPDH R3
Cp 16.50 · PASS</x:v>
      </x:c>
      <x:c r="E3" s="23" t="str">
        <x:v>Mock
GAPDH R4
Cp 16.45 · PASS</x:v>
      </x:c>
      <x:c r="F3" s="23" t="str">
        <x:v>Mock
TBP R1
Cp 25.20 · PASS</x:v>
      </x:c>
      <x:c r="G3" s="23" t="str">
        <x:v>Mock
TBP R2
Cp 25.36 · PASS</x:v>
      </x:c>
      <x:c r="H3" s="23" t="str">
        <x:v>Mock
TBP R3
Cp 25.31 · PASS</x:v>
      </x:c>
      <x:c r="I3" s="23" t="str">
        <x:v>Mock
TBP R4
Cp 25.45 · PASS</x:v>
      </x:c>
      <x:c r="J3" s="28" t="str">
        <x:v>Mock
FBN2-1 R1
Cp 23.92 · REVIEW</x:v>
      </x:c>
      <x:c r="K3" s="28" t="str">
        <x:v>Mock
FBN2-1 R2
Cp 24.01 · REVIEW</x:v>
      </x:c>
      <x:c r="L3" s="28" t="str">
        <x:v>Mock
FBN2-1 R3
Cp 23.86 · REVIEW</x:v>
      </x:c>
      <x:c r="M3" s="28" t="str">
        <x:v>Mock
FBN2-1 R4
Cp 23.90 · REVIEW</x:v>
      </x:c>
      <x:c r="N3" s="28" t="str">
        <x:v>Mock
FBN2-2 R1
Cp 24.02 · REVIEW</x:v>
      </x:c>
      <x:c r="O3" s="28" t="str">
        <x:v>NC-FAM
FBN2-2 R2
Cp 23.66 · REVIEW</x:v>
      </x:c>
      <x:c r="P3" s="28" t="str">
        <x:v>Mock
FBN2-2 R3
Cp 23.95 · REVIEW</x:v>
      </x:c>
      <x:c r="Q3" s="28" t="str">
        <x:v>Mock
FBN2-2 R4
Cp 24.03 · REVIEW</x:v>
      </x:c>
      <x:c r="R3" s="23" t="str">
        <x:v>Mock
ZNF436-1 R1
Cp 27.54 · PASS</x:v>
      </x:c>
      <x:c r="S3" s="23" t="str">
        <x:v>Mock
ZNF436-1 R2
Cp 27.56 · PASS</x:v>
      </x:c>
      <x:c r="T3" s="23" t="str">
        <x:v>Mock
ZNF436-1 R3
Cp 27.64 · PASS</x:v>
      </x:c>
      <x:c r="U3" s="23" t="str">
        <x:v>Mock
ZNF436-1 R4
Cp 27.74 · PASS</x:v>
      </x:c>
      <x:c r="V3" s="33" t="str">
        <x:v>Mock
ZNF436-2 R1
Cp 26.99 · FAIL</x:v>
      </x:c>
      <x:c r="W3" s="33" t="str">
        <x:v>Mock
ZNF436-2 R2
Cp 25.59 · FAIL</x:v>
      </x:c>
      <x:c r="X3" s="33" t="str">
        <x:v>Mock
ZNF436-2 R3
Cp 26.78 · FAIL</x:v>
      </x:c>
      <x:c r="Y3" s="33" t="str">
        <x:v>Mock
ZNF436-2 R4
Cp 25.49 · FAIL</x:v>
      </x:c>
    </x:row>
    <x:row r="4" ht="52" customHeight="1">
      <x:c r="A4" s="35" t="str">
        <x:v>B</x:v>
      </x:c>
      <x:c r="B4" s="23" t="str">
        <x:v>siZNF436-3
GAPDH R1
Cp 16.37 · PASS</x:v>
      </x:c>
      <x:c r="C4" s="23" t="str">
        <x:v>siZNF436-3
GAPDH R2
Cp 16.52 · PASS</x:v>
      </x:c>
      <x:c r="D4" s="23" t="str">
        <x:v>siZNF436-3
GAPDH R3
Cp 16.25 · PASS</x:v>
      </x:c>
      <x:c r="E4" s="23" t="str">
        <x:v>siZNF436-3
GAPDH R4
Cp 16.44 · PASS</x:v>
      </x:c>
      <x:c r="F4" s="23" t="str">
        <x:v>siZNF436-3
TBP R1
Cp 25.12 · PASS</x:v>
      </x:c>
      <x:c r="G4" s="23" t="str">
        <x:v>siZNF436-3
TBP R2
Cp 24.99 · PASS</x:v>
      </x:c>
      <x:c r="H4" s="23" t="str">
        <x:v>siZNF436-3
TBP R3
Cp 25.27 · PASS</x:v>
      </x:c>
      <x:c r="I4" s="23" t="str">
        <x:v>siZNF436-3
TBP R4
Cp 25.08 · PASS</x:v>
      </x:c>
      <x:c r="J4" s="33" t="str">
        <x:v>siZNF436-3
FBN2-1 R1
Cp 23.78 · FAIL</x:v>
      </x:c>
      <x:c r="K4" s="33" t="str">
        <x:v>siZNF436-3
FBN2-1 R2
Cp 22.74 · FAIL</x:v>
      </x:c>
      <x:c r="L4" s="33" t="str">
        <x:v>siZNF436-3
FBN2-1 R3
Cp 23.79 · FAIL</x:v>
      </x:c>
      <x:c r="M4" s="33" t="str">
        <x:v>siZNF436-3
FBN2-1 R4
Cp 22.53 · FAIL</x:v>
      </x:c>
      <x:c r="N4" s="28" t="str">
        <x:v>siZNF436-3
FBN2-2 R1
Cp 23.79 · REVIEW</x:v>
      </x:c>
      <x:c r="O4" s="28" t="str">
        <x:v>siZNF436-3
FBN2-2 R2
Cp 23.84 · REVIEW</x:v>
      </x:c>
      <x:c r="P4" s="28" t="str">
        <x:v>siZNF436-3
FBN2-2 R3
Cp 23.85 · REVIEW</x:v>
      </x:c>
      <x:c r="Q4" s="28" t="str">
        <x:v>siZNF436-3
FBN2-2 R4
Cp 23.81 · REVIEW</x:v>
      </x:c>
      <x:c r="R4" s="23" t="str">
        <x:v>siZNF436-3
ZNF436-1 R1
Cp 29.28 · PASS</x:v>
      </x:c>
      <x:c r="S4" s="23" t="str">
        <x:v>siZNF436-3
ZNF436-1 R2
Cp 29.51 · PASS</x:v>
      </x:c>
      <x:c r="T4" s="23" t="str">
        <x:v>siZNF436-3
ZNF436-1 R3
Cp 29.75 · PASS</x:v>
      </x:c>
      <x:c r="U4" s="23" t="str">
        <x:v>siZNF436-3
ZNF436-1 R4
Cp 29.28 · PASS</x:v>
      </x:c>
      <x:c r="V4" s="23" t="str">
        <x:v>siZNF436-3
ZNF436-2 R1
Cp 25.88 · PASS</x:v>
      </x:c>
      <x:c r="W4" s="23" t="str">
        <x:v>siZNF436-3
ZNF436-2 R2
Cp 25.73 · PASS</x:v>
      </x:c>
      <x:c r="X4" s="23" t="str">
        <x:v>siZNF436-3
ZNF436-2 R3
Cp 25.78 · PASS</x:v>
      </x:c>
      <x:c r="Y4" s="23" t="str">
        <x:v>siZNF436-3
ZNF436-2 R4
Cp 25.74 · PASS</x:v>
      </x:c>
    </x:row>
    <x:row r="5" ht="52" customHeight="1">
      <x:c r="A5" s="35" t="str">
        <x:v>C</x:v>
      </x:c>
      <x:c r="B5" s="23" t="str">
        <x:v>NC-FAM
GAPDH R1
Cp 15.91 · PASS</x:v>
      </x:c>
      <x:c r="C5" s="23" t="str">
        <x:v>NC-FAM
GAPDH R2
Cp 15.92 · PASS</x:v>
      </x:c>
      <x:c r="D5" s="23" t="str">
        <x:v>NC-FAM
GAPDH R3
Cp 15.93 · PASS</x:v>
      </x:c>
      <x:c r="E5" s="23" t="str">
        <x:v>NC-FAM
GAPDH R4
Cp 15.92 · PASS</x:v>
      </x:c>
      <x:c r="F5" s="23" t="str">
        <x:v>NC-FAM
TBP R1
Cp 24.67 · PASS</x:v>
      </x:c>
      <x:c r="G5" s="23" t="str">
        <x:v>NC-FAM
TBP R2
Cp 24.83 · PASS</x:v>
      </x:c>
      <x:c r="H5" s="23" t="str">
        <x:v>NC-FAM
TBP R3
Cp 24.82 · PASS</x:v>
      </x:c>
      <x:c r="I5" s="23" t="str">
        <x:v>NC-FAM
TBP R4
Cp 24.88 · PASS</x:v>
      </x:c>
      <x:c r="J5" s="28" t="str">
        <x:v>NC-FAM
FBN2-1 R1
Cp 23.49 · REVIEW</x:v>
      </x:c>
      <x:c r="K5" s="28" t="str">
        <x:v>NC-FAM
FBN2-1 R2
Cp 23.52 · REVIEW</x:v>
      </x:c>
      <x:c r="L5" s="28" t="str">
        <x:v>NC-FAM
FBN2-1 R3
Cp 23.48 · REVIEW</x:v>
      </x:c>
      <x:c r="M5" s="28" t="str">
        <x:v>NC-FAM
FBN2-1 R4
Cp 23.53 · REVIEW</x:v>
      </x:c>
      <x:c r="N5" s="28" t="str">
        <x:v>NC-FAM
FBN2-2 R1
Cp 23.48 · REVIEW</x:v>
      </x:c>
      <x:c r="O5" s="28" t="str">
        <x:v>siFBN2-1
FBN2-2 R2
Cp 23.77 · REVIEW</x:v>
      </x:c>
      <x:c r="P5" s="28" t="str">
        <x:v>NC-FAM
FBN2-2 R3
Cp 23.60 · REVIEW</x:v>
      </x:c>
      <x:c r="Q5" s="28" t="str">
        <x:v>NC-FAM
FBN2-2 R4
Cp 23.51 · REVIEW</x:v>
      </x:c>
      <x:c r="R5" s="23" t="str">
        <x:v>NC-FAM
ZNF436-1 R1
Cp 27.03 · PASS</x:v>
      </x:c>
      <x:c r="S5" s="23" t="str">
        <x:v>NC-FAM
ZNF436-1 R2
Cp 27.04 · PASS</x:v>
      </x:c>
      <x:c r="T5" s="23" t="str">
        <x:v>NC-FAM
ZNF436-1 R3
Cp 27.28 · PASS</x:v>
      </x:c>
      <x:c r="U5" s="23" t="str">
        <x:v>NC-FAM
ZNF436-1 R4
Cp 27.33 · PASS</x:v>
      </x:c>
      <x:c r="V5" s="33" t="str">
        <x:v>NC-FAM
ZNF436-2 R1
Cp 26.84 · FAIL</x:v>
      </x:c>
      <x:c r="W5" s="33" t="str">
        <x:v>NC-FAM
ZNF436-2 R2
Cp 26.73 · FAIL</x:v>
      </x:c>
      <x:c r="X5" s="33" t="str">
        <x:v>NC-FAM
ZNF436-2 R3
Cp 26.80 · FAIL</x:v>
      </x:c>
      <x:c r="Y5" s="33" t="str">
        <x:v>NC-FAM
ZNF436-2 R4
Cp 26.75 · FAIL</x:v>
      </x:c>
    </x:row>
    <x:row r="6" ht="52" customHeight="1">
      <x:c r="A6" s="35" t="str">
        <x:v>D</x:v>
      </x:c>
      <x:c r="B6" s="23" t="str">
        <x:v>siZNF436-4
GAPDH R1
Cp 16.83 · PASS</x:v>
      </x:c>
      <x:c r="C6" s="23" t="str">
        <x:v>siZNF436-4
GAPDH R2
Cp 16.83 · PASS</x:v>
      </x:c>
      <x:c r="D6" s="23" t="str">
        <x:v>siZNF436-4
GAPDH R3
Cp 16.78 · PASS</x:v>
      </x:c>
      <x:c r="E6" s="23" t="str">
        <x:v>siZNF436-4
GAPDH R4
Cp 16.90 · PASS</x:v>
      </x:c>
      <x:c r="F6" s="23" t="str">
        <x:v>siZNF436-4
TBP R1
Cp 25.52 · PASS</x:v>
      </x:c>
      <x:c r="G6" s="23" t="str">
        <x:v>siZNF436-4
TBP R2
Cp 25.62 · PASS</x:v>
      </x:c>
      <x:c r="H6" s="23" t="str">
        <x:v>siZNF436-4
TBP R3
Cp 25.63 · PASS</x:v>
      </x:c>
      <x:c r="I6" s="23" t="str">
        <x:v>siZNF436-4
TBP R4
Cp 25.52 · PASS</x:v>
      </x:c>
      <x:c r="J6" s="28" t="str">
        <x:v>siZNF436-4
FBN2-1 R1
Cp 24.60 · REVIEW</x:v>
      </x:c>
      <x:c r="K6" s="28" t="str">
        <x:v>siZNF436-4
FBN2-1 R2
Cp 23.60 · REVIEW</x:v>
      </x:c>
      <x:c r="L6" s="28" t="str">
        <x:v>siZNF436-4
FBN2-1 R3
Cp 24.57 · REVIEW</x:v>
      </x:c>
      <x:c r="M6" s="28" t="str">
        <x:v>siZNF436-4
FBN2-1 R4
Cp 24.29 · REVIEW</x:v>
      </x:c>
      <x:c r="N6" s="28" t="str">
        <x:v>siZNF436-4
FBN2-2 R1
Cp 24.71 · REVIEW</x:v>
      </x:c>
      <x:c r="O6" s="28" t="str">
        <x:v>siZNF436-4
FBN2-2 R2
Cp 24.76 · REVIEW</x:v>
      </x:c>
      <x:c r="P6" s="28" t="str">
        <x:v>siZNF436-4
FBN2-2 R3
Cp 24.78 · REVIEW</x:v>
      </x:c>
      <x:c r="Q6" s="28" t="str">
        <x:v>siZNF436-4
FBN2-2 R4
Cp 24.20 · REVIEW</x:v>
      </x:c>
      <x:c r="R6" s="33" t="str">
        <x:v>siZNF436-4
ZNF436-1 R1
Cp 29.98 · FAIL</x:v>
      </x:c>
      <x:c r="S6" s="33" t="str">
        <x:v>siZNF436-4
ZNF436-1 R2
Cp 30.05 · FAIL</x:v>
      </x:c>
      <x:c r="T6" s="33" t="str">
        <x:v>siZNF436-4
ZNF436-1 R3
Cp 29.92 · FAIL</x:v>
      </x:c>
      <x:c r="U6" s="33" t="str">
        <x:v>siZNF436-4
ZNF436-1 R4
Cp 29.68 · FAIL</x:v>
      </x:c>
      <x:c r="V6" s="23" t="str">
        <x:v>siZNF436-4
ZNF436-2 R1
Cp 27.03 · PASS</x:v>
      </x:c>
      <x:c r="W6" s="23" t="str">
        <x:v>siZNF436-4
ZNF436-2 R2
Cp 26.74 · PASS</x:v>
      </x:c>
      <x:c r="X6" s="23" t="str">
        <x:v>siZNF436-4
ZNF436-2 R3
Cp 26.55 · PASS</x:v>
      </x:c>
      <x:c r="Y6" s="23" t="str">
        <x:v>siZNF436-4
ZNF436-2 R4
Cp 26.55 · PASS</x:v>
      </x:c>
    </x:row>
    <x:row r="7" ht="52" customHeight="1">
      <x:c r="A7" s="35" t="str">
        <x:v>E</x:v>
      </x:c>
      <x:c r="B7" s="23" t="str">
        <x:v>siFBN2-1
GAPDH R1
Cp 16.08 · PASS</x:v>
      </x:c>
      <x:c r="C7" s="23" t="str">
        <x:v>siFBN2-1
GAPDH R2
Cp 16.10 · PASS</x:v>
      </x:c>
      <x:c r="D7" s="23" t="str">
        <x:v>siFBN2-1
GAPDH R3
Cp 16.10 · PASS</x:v>
      </x:c>
      <x:c r="E7" s="23" t="str">
        <x:v>siFBN2-1
GAPDH R4
Cp 16.10 · PASS</x:v>
      </x:c>
      <x:c r="F7" s="23" t="str">
        <x:v>siFBN2-1
TBP R1
Cp 24.93 · PASS</x:v>
      </x:c>
      <x:c r="G7" s="23" t="str">
        <x:v>siFBN2-1
TBP R2
Cp 25.00 · PASS</x:v>
      </x:c>
      <x:c r="H7" s="23" t="str">
        <x:v>siFBN2-1
TBP R3
Cp 24.95 · PASS</x:v>
      </x:c>
      <x:c r="I7" s="23" t="str">
        <x:v>siFBN2-1
TBP R4
Cp 25.15 · PASS</x:v>
      </x:c>
      <x:c r="J7" s="28" t="str">
        <x:v>siFBN2-1
FBN2-1 R1
Cp 23.63 · REVIEW</x:v>
      </x:c>
      <x:c r="K7" s="28" t="str">
        <x:v>siFBN2-1
FBN2-1 R2
Cp 23.64 · REVIEW</x:v>
      </x:c>
      <x:c r="L7" s="28" t="str">
        <x:v>siFBN2-1
FBN2-1 R3
Cp 23.61 · REVIEW</x:v>
      </x:c>
      <x:c r="M7" s="28" t="str">
        <x:v>siFBN2-1
FBN2-1 R4
Cp 23.72 · REVIEW</x:v>
      </x:c>
      <x:c r="N7" s="28" t="str">
        <x:v>siFBN2-1
FBN2-2 R1
Cp 23.67 · REVIEW</x:v>
      </x:c>
      <x:c r="O7" s="28" t="str">
        <x:v>siFBN2-2
FBN2-2 R2
Cp 26.46 · REVIEW</x:v>
      </x:c>
      <x:c r="P7" s="28" t="str">
        <x:v>siFBN2-1
FBN2-2 R3
Cp 23.70 · REVIEW</x:v>
      </x:c>
      <x:c r="Q7" s="28" t="str">
        <x:v>siFBN2-1
FBN2-2 R4
Cp 23.65 · REVIEW</x:v>
      </x:c>
      <x:c r="R7" s="23" t="str">
        <x:v>siFBN2-1
ZNF436-1 R1
Cp 27.80 · PASS</x:v>
      </x:c>
      <x:c r="S7" s="23" t="str">
        <x:v>siFBN2-1
ZNF436-1 R2
Cp 27.62 · PASS</x:v>
      </x:c>
      <x:c r="T7" s="23" t="str">
        <x:v>siFBN2-1
ZNF436-1 R3
Cp 27.42 · PASS</x:v>
      </x:c>
      <x:c r="U7" s="23" t="str">
        <x:v>siFBN2-1
ZNF436-1 R4
Cp 27.59 · PASS</x:v>
      </x:c>
      <x:c r="V7" s="33" t="str">
        <x:v>siFBN2-1
ZNF436-2 R1
Cp 26.98 · FAIL</x:v>
      </x:c>
      <x:c r="W7" s="33" t="str">
        <x:v>siFBN2-1
ZNF436-2 R2
Cp 27.07 · FAIL</x:v>
      </x:c>
      <x:c r="X7" s="33" t="str">
        <x:v>siFBN2-1
ZNF436-2 R3
Cp 25.67 · FAIL</x:v>
      </x:c>
      <x:c r="Y7" s="33" t="str">
        <x:v>siFBN2-1
ZNF436-2 R4
Cp 26.96 · FAIL</x:v>
      </x:c>
    </x:row>
    <x:row r="8">
      <x:c r="A8" s="35" t="str">
        <x:v>F</x:v>
      </x:c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4" t="str"/>
      <x:c r="L8" s="34" t="str"/>
      <x:c r="M8" s="34" t="str"/>
      <x:c r="N8" s="34" t="str"/>
      <x:c r="O8" s="34" t="str"/>
      <x:c r="P8" s="34" t="str"/>
      <x:c r="Q8" s="34" t="str"/>
      <x:c r="R8" s="34" t="str"/>
      <x:c r="S8" s="34" t="str"/>
      <x:c r="T8" s="34" t="str"/>
      <x:c r="U8" s="34" t="str"/>
      <x:c r="V8" s="34" t="str"/>
      <x:c r="W8" s="34" t="str"/>
      <x:c r="X8" s="34" t="str"/>
      <x:c r="Y8" s="34" t="str"/>
    </x:row>
    <x:row r="9" ht="52" customHeight="1">
      <x:c r="A9" s="35" t="str">
        <x:v>G</x:v>
      </x:c>
      <x:c r="B9" s="23" t="str">
        <x:v>siFBN2-2
GAPDH R1
Cp 16.08 · PASS</x:v>
      </x:c>
      <x:c r="C9" s="23" t="str">
        <x:v>siFBN2-2
GAPDH R2
Cp 16.08 · PASS</x:v>
      </x:c>
      <x:c r="D9" s="23" t="str">
        <x:v>siFBN2-2
GAPDH R3
Cp 16.06 · PASS</x:v>
      </x:c>
      <x:c r="E9" s="23" t="str">
        <x:v>siFBN2-2
GAPDH R4
Cp 16.12 · PASS</x:v>
      </x:c>
      <x:c r="F9" s="23" t="str">
        <x:v>siFBN2-2
TBP R1
Cp 24.66 · PASS</x:v>
      </x:c>
      <x:c r="G9" s="23" t="str">
        <x:v>siFBN2-2
TBP R2
Cp 24.70 · PASS</x:v>
      </x:c>
      <x:c r="H9" s="23" t="str">
        <x:v>siFBN2-2
TBP R3
Cp 24.60 · PASS</x:v>
      </x:c>
      <x:c r="I9" s="23" t="str">
        <x:v>siFBN2-2
TBP R4
Cp 24.62 · PASS</x:v>
      </x:c>
      <x:c r="J9" s="28" t="str">
        <x:v>siFBN2-2
FBN2-1 R1
Cp 26.26 · REVIEW</x:v>
      </x:c>
      <x:c r="K9" s="28" t="str">
        <x:v>siFBN2-2
FBN2-1 R2
Cp 26.49 · REVIEW</x:v>
      </x:c>
      <x:c r="L9" s="28" t="str">
        <x:v>siFBN2-2
FBN2-1 R3
Cp 26.44 · REVIEW</x:v>
      </x:c>
      <x:c r="M9" s="28" t="str">
        <x:v>siFBN2-2
FBN2-1 R4
Cp 26.48 · REVIEW</x:v>
      </x:c>
      <x:c r="N9" s="28" t="str">
        <x:v>siFBN2-2
FBN2-2 R1
Cp 25.98 · REVIEW</x:v>
      </x:c>
      <x:c r="O9" s="33" t="str">
        <x:v>siFBN2-3
FBN2-2 R2
Cp 27.10 · FAIL</x:v>
      </x:c>
      <x:c r="P9" s="28" t="str">
        <x:v>siFBN2-2
FBN2-2 R3
Cp 26.04 · REVIEW</x:v>
      </x:c>
      <x:c r="Q9" s="28" t="str">
        <x:v>siFBN2-2
FBN2-2 R4
Cp 26.13 · REVIEW</x:v>
      </x:c>
      <x:c r="R9" s="23" t="str">
        <x:v>siFBN2-2
ZNF436-1 R1
Cp 27.57 · PASS</x:v>
      </x:c>
      <x:c r="S9" s="23" t="str">
        <x:v>siFBN2-2
ZNF436-1 R2
Cp 27.25 · PASS</x:v>
      </x:c>
      <x:c r="T9" s="23" t="str">
        <x:v>siFBN2-2
ZNF436-1 R3
Cp 27.55 · PASS</x:v>
      </x:c>
      <x:c r="U9" s="23" t="str">
        <x:v>siFBN2-2
ZNF436-1 R4
Cp 27.45 · PASS</x:v>
      </x:c>
      <x:c r="V9" s="23" t="str">
        <x:v>siFBN2-2
ZNF436-2 R1
Cp 26.47 · PASS</x:v>
      </x:c>
      <x:c r="W9" s="23" t="str">
        <x:v>siFBN2-2
ZNF436-2 R2
Cp 26.46 · PASS</x:v>
      </x:c>
      <x:c r="X9" s="23" t="str">
        <x:v>siFBN2-2
ZNF436-2 R3
Cp 26.65 · PASS</x:v>
      </x:c>
      <x:c r="Y9" s="23" t="str">
        <x:v>siFBN2-2
ZNF436-2 R4
Cp 26.69 · PASS</x:v>
      </x:c>
    </x:row>
    <x:row r="10">
      <x:c r="A10" s="35" t="str">
        <x:v>H</x:v>
      </x:c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4" t="str"/>
      <x:c r="L10" s="34" t="str"/>
      <x:c r="M10" s="34" t="str"/>
      <x:c r="N10" s="34" t="str"/>
      <x:c r="O10" s="34" t="str"/>
      <x:c r="P10" s="34" t="str"/>
      <x:c r="Q10" s="34" t="str"/>
      <x:c r="R10" s="34" t="str"/>
      <x:c r="S10" s="34" t="str"/>
      <x:c r="T10" s="34" t="str"/>
      <x:c r="U10" s="34" t="str"/>
      <x:c r="V10" s="34" t="str"/>
      <x:c r="W10" s="34" t="str"/>
      <x:c r="X10" s="34" t="str"/>
      <x:c r="Y10" s="34" t="str"/>
    </x:row>
    <x:row r="11" ht="52" customHeight="1">
      <x:c r="A11" s="35" t="str">
        <x:v>I</x:v>
      </x:c>
      <x:c r="B11" s="23" t="str">
        <x:v>siFBN2-3
GAPDH R1
Cp 15.95 · PASS</x:v>
      </x:c>
      <x:c r="C11" s="23" t="str">
        <x:v>siFBN2-3
GAPDH R2
Cp 15.89 · PASS</x:v>
      </x:c>
      <x:c r="D11" s="23" t="str">
        <x:v>siFBN2-3
GAPDH R3
Cp 16.01 · PASS</x:v>
      </x:c>
      <x:c r="E11" s="23" t="str">
        <x:v>siFBN2-3
GAPDH R4
Cp 15.98 · PASS</x:v>
      </x:c>
      <x:c r="F11" s="23" t="str">
        <x:v>siFBN2-3
TBP R1
Cp 24.83 · PASS</x:v>
      </x:c>
      <x:c r="G11" s="23" t="str">
        <x:v>siFBN2-3
TBP R2
Cp 24.85 · PASS</x:v>
      </x:c>
      <x:c r="H11" s="23" t="str">
        <x:v>siFBN2-3
TBP R3
Cp 24.88 · PASS</x:v>
      </x:c>
      <x:c r="I11" s="23" t="str">
        <x:v>siFBN2-3
TBP R4
Cp 24.90 · PASS</x:v>
      </x:c>
      <x:c r="J11" s="28" t="str">
        <x:v>siFBN2-3
FBN2-1 R1
Cp 26.95 · REVIEW</x:v>
      </x:c>
      <x:c r="K11" s="28" t="str">
        <x:v>siFBN2-3
FBN2-1 R2
Cp 27.06 · REVIEW</x:v>
      </x:c>
      <x:c r="L11" s="28" t="str">
        <x:v>siFBN2-3
FBN2-1 R3
Cp 27.27 · REVIEW</x:v>
      </x:c>
      <x:c r="M11" s="28" t="str">
        <x:v>siFBN2-3
FBN2-1 R4
Cp 27.09 · REVIEW</x:v>
      </x:c>
      <x:c r="N11" s="33" t="str">
        <x:v>siFBN2-3
FBN2-2 R1
Cp 26.97 · FAIL</x:v>
      </x:c>
      <x:c r="O11" s="33" t="str">
        <x:v>siFBN2-4
FBN2-2 R2
Cp 27.23 · FAIL</x:v>
      </x:c>
      <x:c r="P11" s="33" t="str">
        <x:v>siFBN2-3
FBN2-2 R3
Cp 26.95 · FAIL</x:v>
      </x:c>
      <x:c r="Q11" s="33" t="str">
        <x:v>siFBN2-3
FBN2-2 R4
Cp 26.92 · FAIL</x:v>
      </x:c>
      <x:c r="R11" s="23" t="str">
        <x:v>siFBN2-3
ZNF436-1 R1
Cp 27.47 · PASS</x:v>
      </x:c>
      <x:c r="S11" s="23" t="str">
        <x:v>siFBN2-3
ZNF436-1 R2
Cp 27.16 · PASS</x:v>
      </x:c>
      <x:c r="T11" s="23" t="str">
        <x:v>siFBN2-3
ZNF436-1 R3
Cp 27.30 · PASS</x:v>
      </x:c>
      <x:c r="U11" s="23" t="str">
        <x:v>siFBN2-3
ZNF436-1 R4
Cp 27.11 · PASS</x:v>
      </x:c>
      <x:c r="V11" s="23" t="str">
        <x:v>siFBN2-3
ZNF436-2 R1
Cp 25.70 · PASS</x:v>
      </x:c>
      <x:c r="W11" s="23" t="str">
        <x:v>siFBN2-3
ZNF436-2 R2
Cp 25.75 · PASS</x:v>
      </x:c>
      <x:c r="X11" s="23" t="str">
        <x:v>siFBN2-3
ZNF436-2 R3
Cp 25.87 · PASS</x:v>
      </x:c>
      <x:c r="Y11" s="23" t="str">
        <x:v>siFBN2-3
ZNF436-2 R4
Cp 25.82 · PASS</x:v>
      </x:c>
    </x:row>
    <x:row r="12">
      <x:c r="A12" s="35" t="str">
        <x:v>J</x:v>
      </x:c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/>
      <x:c r="N12" s="34" t="str"/>
      <x:c r="O12" s="34" t="str"/>
      <x:c r="P12" s="34" t="str"/>
      <x:c r="Q12" s="34" t="str"/>
      <x:c r="R12" s="34" t="str"/>
      <x:c r="S12" s="34" t="str"/>
      <x:c r="T12" s="34" t="str"/>
      <x:c r="U12" s="34" t="str"/>
      <x:c r="V12" s="34" t="str"/>
      <x:c r="W12" s="34" t="str"/>
      <x:c r="X12" s="34" t="str"/>
      <x:c r="Y12" s="34" t="str"/>
    </x:row>
    <x:row r="13" ht="52" customHeight="1">
      <x:c r="A13" s="35" t="str">
        <x:v>K</x:v>
      </x:c>
      <x:c r="B13" s="23" t="str">
        <x:v>siFBN2-4
GAPDH R1
Cp 16.11 · PASS</x:v>
      </x:c>
      <x:c r="C13" s="23" t="str">
        <x:v>siFBN2-4
GAPDH R2
Cp 16.11 · PASS</x:v>
      </x:c>
      <x:c r="D13" s="23" t="str">
        <x:v>siFBN2-4
GAPDH R3
Cp 16.16 · PASS</x:v>
      </x:c>
      <x:c r="E13" s="23" t="str">
        <x:v>siFBN2-4
GAPDH R4
Cp 16.20 · PASS</x:v>
      </x:c>
      <x:c r="F13" s="23" t="str">
        <x:v>siFBN2-4
TBP R1
Cp 25.06 · PASS</x:v>
      </x:c>
      <x:c r="G13" s="23" t="str">
        <x:v>siFBN2-4
TBP R2
Cp 25.08 · PASS</x:v>
      </x:c>
      <x:c r="H13" s="23" t="str">
        <x:v>siFBN2-4
TBP R3
Cp 25.13 · PASS</x:v>
      </x:c>
      <x:c r="I13" s="23" t="str">
        <x:v>siFBN2-4
TBP R4
Cp 25.20 · PASS</x:v>
      </x:c>
      <x:c r="J13" s="28" t="str">
        <x:v>siFBN2-4
FBN2-1 R1
Cp 26.72 · REVIEW</x:v>
      </x:c>
      <x:c r="K13" s="28" t="str">
        <x:v>siFBN2-4
FBN2-1 R2
Cp 26.99 · REVIEW</x:v>
      </x:c>
      <x:c r="L13" s="28" t="str">
        <x:v>siFBN2-4
FBN2-1 R3
Cp 27.02 · REVIEW</x:v>
      </x:c>
      <x:c r="M13" s="28" t="str">
        <x:v>siFBN2-4
FBN2-1 R4
Cp 27.01 · REVIEW</x:v>
      </x:c>
      <x:c r="N13" s="33" t="str">
        <x:v>siFBN2-4
FBN2-2 R1
Cp 27.21 · FAIL</x:v>
      </x:c>
      <x:c r="O13" s="28" t="str">
        <x:v>siZNF436-1
FBN2-2 R2
Cp 23.61 · REVIEW</x:v>
      </x:c>
      <x:c r="P13" s="33" t="str">
        <x:v>siFBN2-4
FBN2-2 R3
Cp 27.04 · FAIL</x:v>
      </x:c>
      <x:c r="Q13" s="33" t="str">
        <x:v>siFBN2-4
FBN2-2 R4
Cp 27.27 · FAIL</x:v>
      </x:c>
      <x:c r="R13" s="23" t="str">
        <x:v>siFBN2-4
ZNF436-1 R1
Cp 27.46 · PASS</x:v>
      </x:c>
      <x:c r="S13" s="23" t="str">
        <x:v>siFBN2-4
ZNF436-1 R2
Cp 27.67 · PASS</x:v>
      </x:c>
      <x:c r="T13" s="23" t="str">
        <x:v>siFBN2-4
ZNF436-1 R3
Cp 27.49 · PASS</x:v>
      </x:c>
      <x:c r="U13" s="23" t="str">
        <x:v>siFBN2-4
ZNF436-1 R4
Cp 27.55 · PASS</x:v>
      </x:c>
      <x:c r="V13" s="23" t="str">
        <x:v>siFBN2-4
ZNF436-2 R1
Cp 25.34 · PASS</x:v>
      </x:c>
      <x:c r="W13" s="23" t="str">
        <x:v>siFBN2-4
ZNF436-2 R2
Cp 25.52 · PASS</x:v>
      </x:c>
      <x:c r="X13" s="23" t="str">
        <x:v>siFBN2-4
ZNF436-2 R3
Cp 25.53 · PASS</x:v>
      </x:c>
      <x:c r="Y13" s="23" t="str">
        <x:v>siFBN2-4
ZNF436-2 R4
Cp 25.52 · PASS</x:v>
      </x:c>
    </x:row>
    <x:row r="14">
      <x:c r="A14" s="35" t="str">
        <x:v>L</x:v>
      </x:c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4" t="str"/>
      <x:c r="L14" s="34" t="str"/>
      <x:c r="M14" s="34" t="str"/>
      <x:c r="N14" s="34" t="str"/>
      <x:c r="O14" s="34" t="str"/>
      <x:c r="P14" s="34" t="str"/>
      <x:c r="Q14" s="34" t="str"/>
      <x:c r="R14" s="34" t="str"/>
      <x:c r="S14" s="34" t="str"/>
      <x:c r="T14" s="34" t="str"/>
      <x:c r="U14" s="34" t="str"/>
      <x:c r="V14" s="34" t="str"/>
      <x:c r="W14" s="34" t="str"/>
      <x:c r="X14" s="34" t="str"/>
      <x:c r="Y14" s="34" t="str"/>
    </x:row>
    <x:row r="15" ht="52" customHeight="1">
      <x:c r="A15" s="35" t="str">
        <x:v>M</x:v>
      </x:c>
      <x:c r="B15" s="23" t="str">
        <x:v>siZNF436-1
GAPDH R1
Cp 15.96 · PASS</x:v>
      </x:c>
      <x:c r="C15" s="23" t="str">
        <x:v>siZNF436-1
GAPDH R2
Cp 16.01 · PASS</x:v>
      </x:c>
      <x:c r="D15" s="23" t="str">
        <x:v>siZNF436-1
GAPDH R3
Cp 16.04 · PASS</x:v>
      </x:c>
      <x:c r="E15" s="23" t="str">
        <x:v>siZNF436-1
GAPDH R4
Cp 15.99 · PASS</x:v>
      </x:c>
      <x:c r="F15" s="23" t="str">
        <x:v>siZNF436-1
TBP R1
Cp 24.84 · PASS</x:v>
      </x:c>
      <x:c r="G15" s="23" t="str">
        <x:v>siZNF436-1
TBP R2
Cp 24.84 · PASS</x:v>
      </x:c>
      <x:c r="H15" s="23" t="str">
        <x:v>siZNF436-1
TBP R3
Cp 24.52 · PASS</x:v>
      </x:c>
      <x:c r="I15" s="23" t="str">
        <x:v>siZNF436-1
TBP R4
Cp 24.96 · PASS</x:v>
      </x:c>
      <x:c r="J15" s="28" t="str">
        <x:v>siZNF436-1
FBN2-1 R1
Cp 23.55 · REVIEW</x:v>
      </x:c>
      <x:c r="K15" s="28" t="str">
        <x:v>siZNF436-1
FBN2-1 R2
Cp 23.67 · REVIEW</x:v>
      </x:c>
      <x:c r="L15" s="28" t="str">
        <x:v>siZNF436-1
FBN2-1 R3
Cp 23.67 · REVIEW</x:v>
      </x:c>
      <x:c r="M15" s="28" t="str">
        <x:v>siZNF436-1
FBN2-1 R4
Cp 23.73 · REVIEW</x:v>
      </x:c>
      <x:c r="N15" s="28" t="str">
        <x:v>siZNF436-1
FBN2-2 R1
Cp 23.62 · REVIEW</x:v>
      </x:c>
      <x:c r="O15" s="28" t="str">
        <x:v>siZNF436-2
FBN2-2 R2
Cp 23.66 · REVIEW</x:v>
      </x:c>
      <x:c r="P15" s="28" t="str">
        <x:v>siZNF436-1
FBN2-2 R3
Cp 23.70 · REVIEW</x:v>
      </x:c>
      <x:c r="Q15" s="28" t="str">
        <x:v>siZNF436-1
FBN2-2 R4
Cp 23.60 · REVIEW</x:v>
      </x:c>
      <x:c r="R15" s="33" t="str">
        <x:v>siZNF436-1
ZNF436-1 R1
Cp 29.96 · FAIL</x:v>
      </x:c>
      <x:c r="S15" s="33" t="str">
        <x:v>siZNF436-1
ZNF436-1 R2
Cp 29.77 · FAIL</x:v>
      </x:c>
      <x:c r="T15" s="33" t="str">
        <x:v>siZNF436-1
ZNF436-1 R3
Cp 30.45 · FAIL</x:v>
      </x:c>
      <x:c r="U15" s="33" t="str">
        <x:v>siZNF436-1
ZNF436-1 R4
Cp 30.23 · FAIL</x:v>
      </x:c>
      <x:c r="V15" s="23" t="str">
        <x:v>siZNF436-1
ZNF436-2 R1
Cp 25.25 · PASS</x:v>
      </x:c>
      <x:c r="W15" s="23" t="str">
        <x:v>siZNF436-1
ZNF436-2 R2
Cp 25.21 · PASS</x:v>
      </x:c>
      <x:c r="X15" s="23" t="str">
        <x:v>siZNF436-1
ZNF436-2 R3
Cp 25.20 · PASS</x:v>
      </x:c>
      <x:c r="Y15" s="23" t="str">
        <x:v>siZNF436-1
ZNF436-2 R4
Cp 25.24 · PASS</x:v>
      </x:c>
    </x:row>
    <x:row r="16">
      <x:c r="A16" s="35" t="str">
        <x:v>N</x:v>
      </x:c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4" t="str"/>
      <x:c r="L16" s="34" t="str"/>
      <x:c r="M16" s="34" t="str"/>
      <x:c r="N16" s="34" t="str"/>
      <x:c r="O16" s="34" t="str"/>
      <x:c r="P16" s="34" t="str"/>
      <x:c r="Q16" s="34" t="str"/>
      <x:c r="R16" s="34" t="str"/>
      <x:c r="S16" s="34" t="str"/>
      <x:c r="T16" s="34" t="str"/>
      <x:c r="U16" s="34" t="str"/>
      <x:c r="V16" s="34" t="str"/>
      <x:c r="W16" s="34" t="str"/>
      <x:c r="X16" s="34" t="str"/>
      <x:c r="Y16" s="34" t="str"/>
    </x:row>
    <x:row r="17" ht="52" customHeight="1">
      <x:c r="A17" s="35" t="str">
        <x:v>O</x:v>
      </x:c>
      <x:c r="B17" s="23" t="str">
        <x:v>siZNF436-2
GAPDH R1
Cp 15.95 · PASS</x:v>
      </x:c>
      <x:c r="C17" s="23" t="str">
        <x:v>siZNF436-2
GAPDH R2
Cp 16.06 · PASS</x:v>
      </x:c>
      <x:c r="D17" s="23" t="str">
        <x:v>siZNF436-2
GAPDH R3
Cp 16.04 · PASS</x:v>
      </x:c>
      <x:c r="E17" s="23" t="str">
        <x:v>siZNF436-2
GAPDH R4
Cp 16.02 · PASS</x:v>
      </x:c>
      <x:c r="F17" s="23" t="str">
        <x:v>siZNF436-2
TBP R1
Cp 24.92 · PASS</x:v>
      </x:c>
      <x:c r="G17" s="23" t="str">
        <x:v>siZNF436-2
TBP R2
Cp 25.04 · PASS</x:v>
      </x:c>
      <x:c r="H17" s="23" t="str">
        <x:v>siZNF436-2
TBP R3
Cp 24.83 · PASS</x:v>
      </x:c>
      <x:c r="I17" s="23" t="str">
        <x:v>siZNF436-2
TBP R4
Cp 25.11 · PASS</x:v>
      </x:c>
      <x:c r="J17" s="28" t="str">
        <x:v>siZNF436-2
FBN2-1 R1
Cp 23.53 · REVIEW</x:v>
      </x:c>
      <x:c r="K17" s="28" t="str">
        <x:v>siZNF436-2
FBN2-1 R2
Cp 23.63 · REVIEW</x:v>
      </x:c>
      <x:c r="L17" s="28" t="str">
        <x:v>siZNF436-2
FBN2-1 R3
Cp 23.74 · REVIEW</x:v>
      </x:c>
      <x:c r="M17" s="28" t="str">
        <x:v>siZNF436-2
FBN2-1 R4
Cp 23.76 · REVIEW</x:v>
      </x:c>
      <x:c r="N17" s="28" t="str">
        <x:v>siZNF436-2
FBN2-2 R1
Cp 23.58 · REVIEW</x:v>
      </x:c>
      <x:c r="O17" s="28" t="str">
        <x:v>Mock
FBN2-2 R2
Cp 23.89 · REVIEW</x:v>
      </x:c>
      <x:c r="P17" s="28" t="str">
        <x:v>siZNF436-2
FBN2-2 R3
Cp 23.75 · REVIEW</x:v>
      </x:c>
      <x:c r="Q17" s="28" t="str">
        <x:v>siZNF436-2
FBN2-2 R4
Cp 23.71 · REVIEW</x:v>
      </x:c>
      <x:c r="R17" s="33" t="str">
        <x:v>siZNF436-2
ZNF436-1 R1
Cp 28.83 · FAIL</x:v>
      </x:c>
      <x:c r="S17" s="33" t="str">
        <x:v>siZNF436-2
ZNF436-1 R2
Cp 28.91 · FAIL</x:v>
      </x:c>
      <x:c r="T17" s="33" t="str">
        <x:v>siZNF436-2
ZNF436-1 R3
Cp 29.16 · FAIL</x:v>
      </x:c>
      <x:c r="U17" s="33" t="str">
        <x:v>siZNF436-2
ZNF436-1 R4
Cp 29.02 · FAIL</x:v>
      </x:c>
      <x:c r="V17" s="23" t="str">
        <x:v>siZNF436-2
ZNF436-2 R1
Cp 25.15 · PASS</x:v>
      </x:c>
      <x:c r="W17" s="23" t="str">
        <x:v>siZNF436-2
ZNF436-2 R2
Cp 25.47 · PASS</x:v>
      </x:c>
      <x:c r="X17" s="23" t="str">
        <x:v>siZNF436-2
ZNF436-2 R3
Cp 25.24 · PASS</x:v>
      </x:c>
      <x:c r="Y17" s="23" t="str">
        <x:v>siZNF436-2
ZNF436-2 R4
Cp 25.09 · PASS</x:v>
      </x:c>
    </x:row>
    <x:row r="18">
      <x:c r="A18" s="35" t="str">
        <x:v>P</x:v>
      </x:c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4" t="str"/>
      <x:c r="L18" s="34" t="str"/>
      <x:c r="M18" s="34" t="str"/>
      <x:c r="N18" s="34" t="str"/>
      <x:c r="O18" s="34" t="str"/>
      <x:c r="P18" s="34" t="str"/>
      <x:c r="Q18" s="34" t="str"/>
      <x:c r="R18" s="34" t="str"/>
      <x:c r="S18" s="34" t="str"/>
      <x:c r="T18" s="34" t="str"/>
      <x:c r="U18" s="34" t="str"/>
      <x:c r="V18" s="34" t="str"/>
      <x:c r="W18" s="34" t="str"/>
      <x:c r="X18" s="34" t="str"/>
      <x:c r="Y18" s="34" t="str"/>
    </x:row>
  </x:sheetData>
  <x:mergeCells>
    <x:mergeCell ref="A1:Y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" t="str">
        <x:v>Include</x:v>
      </x:c>
      <x:c r="B1" s="2" t="str">
        <x:v>Color</x:v>
      </x:c>
      <x:c r="C1" s="2" t="str">
        <x:v>Pos</x:v>
      </x:c>
      <x:c r="D1" s="2" t="str">
        <x:v>Name</x:v>
      </x:c>
      <x:c r="E1" s="2" t="str">
        <x:v>Cp</x:v>
      </x:c>
      <x:c r="F1" s="2" t="str">
        <x:v>Concentration</x:v>
      </x:c>
      <x:c r="G1" s="2" t="str">
        <x:v>Standard</x:v>
      </x:c>
      <x:c r="H1" s="2" t="str">
        <x:v>Status</x:v>
      </x:c>
    </x:row>
    <x:row r="2">
      <x:c r="A2" t="str">
        <x:v>True</x:v>
      </x:c>
      <x:c r="B2" t="str">
        <x:v>255</x:v>
      </x:c>
      <x:c r="C2" t="str">
        <x:v>A1</x:v>
      </x:c>
      <x:c r="D2" t="str">
        <x:v>Sample 1</x:v>
      </x:c>
      <x:c r="E2" t="n">
        <x:v>16.46</x:v>
      </x:c>
      <x:c r="F2"/>
      <x:c r="G2" t="n">
        <x:v>0</x:v>
      </x:c>
      <x:c r="H2" t="str"/>
    </x:row>
    <x:row r="3">
      <x:c r="A3" t="str">
        <x:v>True</x:v>
      </x:c>
      <x:c r="B3" t="str">
        <x:v>255</x:v>
      </x:c>
      <x:c r="C3" t="str">
        <x:v>A2</x:v>
      </x:c>
      <x:c r="D3" t="str">
        <x:v>Sample 2</x:v>
      </x:c>
      <x:c r="E3" t="n">
        <x:v>16.51</x:v>
      </x:c>
      <x:c r="F3"/>
      <x:c r="G3" t="n">
        <x:v>0</x:v>
      </x:c>
      <x:c r="H3" t="str"/>
    </x:row>
    <x:row r="4">
      <x:c r="A4" t="str">
        <x:v>True</x:v>
      </x:c>
      <x:c r="B4" t="str">
        <x:v>255</x:v>
      </x:c>
      <x:c r="C4" t="str">
        <x:v>A3</x:v>
      </x:c>
      <x:c r="D4" t="str">
        <x:v>Sample 3</x:v>
      </x:c>
      <x:c r="E4" t="n">
        <x:v>16.5</x:v>
      </x:c>
      <x:c r="F4"/>
      <x:c r="G4" t="n">
        <x:v>0</x:v>
      </x:c>
      <x:c r="H4" t="str"/>
    </x:row>
    <x:row r="5">
      <x:c r="A5" t="str">
        <x:v>True</x:v>
      </x:c>
      <x:c r="B5" t="str">
        <x:v>255</x:v>
      </x:c>
      <x:c r="C5" t="str">
        <x:v>A4</x:v>
      </x:c>
      <x:c r="D5" t="str">
        <x:v>Sample 4</x:v>
      </x:c>
      <x:c r="E5" t="n">
        <x:v>16.45</x:v>
      </x:c>
      <x:c r="F5"/>
      <x:c r="G5" t="n">
        <x:v>0</x:v>
      </x:c>
      <x:c r="H5" t="str"/>
    </x:row>
    <x:row r="6">
      <x:c r="A6" t="str">
        <x:v>True</x:v>
      </x:c>
      <x:c r="B6" t="str">
        <x:v>255</x:v>
      </x:c>
      <x:c r="C6" t="str">
        <x:v>A5</x:v>
      </x:c>
      <x:c r="D6" t="str">
        <x:v>Sample 5</x:v>
      </x:c>
      <x:c r="E6" t="n">
        <x:v>25.2</x:v>
      </x:c>
      <x:c r="F6"/>
      <x:c r="G6" t="n">
        <x:v>0</x:v>
      </x:c>
      <x:c r="H6" t="str"/>
    </x:row>
    <x:row r="7">
      <x:c r="A7" t="str">
        <x:v>True</x:v>
      </x:c>
      <x:c r="B7" t="str">
        <x:v>255</x:v>
      </x:c>
      <x:c r="C7" t="str">
        <x:v>A6</x:v>
      </x:c>
      <x:c r="D7" t="str">
        <x:v>Sample 6</x:v>
      </x:c>
      <x:c r="E7" t="n">
        <x:v>25.36</x:v>
      </x:c>
      <x:c r="F7"/>
      <x:c r="G7" t="n">
        <x:v>0</x:v>
      </x:c>
      <x:c r="H7" t="str"/>
    </x:row>
    <x:row r="8">
      <x:c r="A8" t="str">
        <x:v>True</x:v>
      </x:c>
      <x:c r="B8" t="str">
        <x:v>255</x:v>
      </x:c>
      <x:c r="C8" t="str">
        <x:v>A7</x:v>
      </x:c>
      <x:c r="D8" t="str">
        <x:v>Sample 7</x:v>
      </x:c>
      <x:c r="E8" t="n">
        <x:v>25.31</x:v>
      </x:c>
      <x:c r="F8"/>
      <x:c r="G8" t="n">
        <x:v>0</x:v>
      </x:c>
      <x:c r="H8" t="str"/>
    </x:row>
    <x:row r="9">
      <x:c r="A9" t="str">
        <x:v>True</x:v>
      </x:c>
      <x:c r="B9" t="str">
        <x:v>255</x:v>
      </x:c>
      <x:c r="C9" t="str">
        <x:v>A8</x:v>
      </x:c>
      <x:c r="D9" t="str">
        <x:v>Sample 8</x:v>
      </x:c>
      <x:c r="E9" t="n">
        <x:v>25.45</x:v>
      </x:c>
      <x:c r="F9"/>
      <x:c r="G9" t="n">
        <x:v>0</x:v>
      </x:c>
      <x:c r="H9" t="str"/>
    </x:row>
    <x:row r="10">
      <x:c r="A10" t="str">
        <x:v>True</x:v>
      </x:c>
      <x:c r="B10" t="str">
        <x:v>255</x:v>
      </x:c>
      <x:c r="C10" t="str">
        <x:v>A9</x:v>
      </x:c>
      <x:c r="D10" t="str">
        <x:v>Sample 9</x:v>
      </x:c>
      <x:c r="E10" t="n">
        <x:v>23.92</x:v>
      </x:c>
      <x:c r="F10"/>
      <x:c r="G10" t="n">
        <x:v>0</x:v>
      </x:c>
      <x:c r="H10" t="str"/>
    </x:row>
    <x:row r="11">
      <x:c r="A11" t="str">
        <x:v>True</x:v>
      </x:c>
      <x:c r="B11" t="str">
        <x:v>255</x:v>
      </x:c>
      <x:c r="C11" t="str">
        <x:v>A10</x:v>
      </x:c>
      <x:c r="D11" t="str">
        <x:v>Sample 10</x:v>
      </x:c>
      <x:c r="E11" t="n">
        <x:v>24.01</x:v>
      </x:c>
      <x:c r="F11"/>
      <x:c r="G11" t="n">
        <x:v>0</x:v>
      </x:c>
      <x:c r="H11" t="str"/>
    </x:row>
    <x:row r="12">
      <x:c r="A12" t="str">
        <x:v>True</x:v>
      </x:c>
      <x:c r="B12" t="str">
        <x:v>255</x:v>
      </x:c>
      <x:c r="C12" t="str">
        <x:v>A11</x:v>
      </x:c>
      <x:c r="D12" t="str">
        <x:v>Sample 11</x:v>
      </x:c>
      <x:c r="E12" t="n">
        <x:v>23.86</x:v>
      </x:c>
      <x:c r="F12"/>
      <x:c r="G12" t="n">
        <x:v>0</x:v>
      </x:c>
      <x:c r="H12" t="str"/>
    </x:row>
    <x:row r="13">
      <x:c r="A13" t="str">
        <x:v>True</x:v>
      </x:c>
      <x:c r="B13" t="str">
        <x:v>255</x:v>
      </x:c>
      <x:c r="C13" t="str">
        <x:v>A12</x:v>
      </x:c>
      <x:c r="D13" t="str">
        <x:v>Sample 12</x:v>
      </x:c>
      <x:c r="E13" t="n">
        <x:v>23.9</x:v>
      </x:c>
      <x:c r="F13"/>
      <x:c r="G13" t="n">
        <x:v>0</x:v>
      </x:c>
      <x:c r="H13" t="str"/>
    </x:row>
    <x:row r="14">
      <x:c r="A14" t="str">
        <x:v>True</x:v>
      </x:c>
      <x:c r="B14" t="str">
        <x:v>255</x:v>
      </x:c>
      <x:c r="C14" t="str">
        <x:v>A13</x:v>
      </x:c>
      <x:c r="D14" t="str">
        <x:v>Sample 13</x:v>
      </x:c>
      <x:c r="E14" t="n">
        <x:v>24.02</x:v>
      </x:c>
      <x:c r="F14"/>
      <x:c r="G14" t="n">
        <x:v>0</x:v>
      </x:c>
      <x:c r="H14" t="str"/>
    </x:row>
    <x:row r="15">
      <x:c r="A15" t="str">
        <x:v>True</x:v>
      </x:c>
      <x:c r="B15" t="str">
        <x:v>255</x:v>
      </x:c>
      <x:c r="C15" t="str">
        <x:v>A14</x:v>
      </x:c>
      <x:c r="D15" t="str">
        <x:v>Sample 14</x:v>
      </x:c>
      <x:c r="E15" t="n">
        <x:v>23.66</x:v>
      </x:c>
      <x:c r="F15"/>
      <x:c r="G15" t="n">
        <x:v>0</x:v>
      </x:c>
      <x:c r="H15" t="str"/>
    </x:row>
    <x:row r="16">
      <x:c r="A16" t="str">
        <x:v>True</x:v>
      </x:c>
      <x:c r="B16" t="str">
        <x:v>255</x:v>
      </x:c>
      <x:c r="C16" t="str">
        <x:v>A15</x:v>
      </x:c>
      <x:c r="D16" t="str">
        <x:v>Sample 15</x:v>
      </x:c>
      <x:c r="E16" t="n">
        <x:v>23.95</x:v>
      </x:c>
      <x:c r="F16"/>
      <x:c r="G16" t="n">
        <x:v>0</x:v>
      </x:c>
      <x:c r="H16" t="str"/>
    </x:row>
    <x:row r="17">
      <x:c r="A17" t="str">
        <x:v>True</x:v>
      </x:c>
      <x:c r="B17" t="str">
        <x:v>255</x:v>
      </x:c>
      <x:c r="C17" t="str">
        <x:v>A16</x:v>
      </x:c>
      <x:c r="D17" t="str">
        <x:v>Sample 16</x:v>
      </x:c>
      <x:c r="E17" t="n">
        <x:v>24.03</x:v>
      </x:c>
      <x:c r="F17"/>
      <x:c r="G17" t="n">
        <x:v>0</x:v>
      </x:c>
      <x:c r="H17" t="str"/>
    </x:row>
    <x:row r="18">
      <x:c r="A18" t="str">
        <x:v>True</x:v>
      </x:c>
      <x:c r="B18" t="str">
        <x:v>255</x:v>
      </x:c>
      <x:c r="C18" t="str">
        <x:v>A17</x:v>
      </x:c>
      <x:c r="D18" t="str">
        <x:v>Sample 17</x:v>
      </x:c>
      <x:c r="E18" t="n">
        <x:v>27.54</x:v>
      </x:c>
      <x:c r="F18"/>
      <x:c r="G18" t="n">
        <x:v>0</x:v>
      </x:c>
      <x:c r="H18" t="str"/>
    </x:row>
    <x:row r="19">
      <x:c r="A19" t="str">
        <x:v>True</x:v>
      </x:c>
      <x:c r="B19" t="str">
        <x:v>255</x:v>
      </x:c>
      <x:c r="C19" t="str">
        <x:v>A18</x:v>
      </x:c>
      <x:c r="D19" t="str">
        <x:v>Sample 18</x:v>
      </x:c>
      <x:c r="E19" t="n">
        <x:v>27.56</x:v>
      </x:c>
      <x:c r="F19"/>
      <x:c r="G19" t="n">
        <x:v>0</x:v>
      </x:c>
      <x:c r="H19" t="str"/>
    </x:row>
    <x:row r="20">
      <x:c r="A20" t="str">
        <x:v>True</x:v>
      </x:c>
      <x:c r="B20" t="str">
        <x:v>255</x:v>
      </x:c>
      <x:c r="C20" t="str">
        <x:v>A19</x:v>
      </x:c>
      <x:c r="D20" t="str">
        <x:v>Sample 19</x:v>
      </x:c>
      <x:c r="E20" t="n">
        <x:v>27.64</x:v>
      </x:c>
      <x:c r="F20"/>
      <x:c r="G20" t="n">
        <x:v>0</x:v>
      </x:c>
      <x:c r="H20" t="str"/>
    </x:row>
    <x:row r="21">
      <x:c r="A21" t="str">
        <x:v>True</x:v>
      </x:c>
      <x:c r="B21" t="str">
        <x:v>255</x:v>
      </x:c>
      <x:c r="C21" t="str">
        <x:v>A20</x:v>
      </x:c>
      <x:c r="D21" t="str">
        <x:v>Sample 20</x:v>
      </x:c>
      <x:c r="E21" t="n">
        <x:v>27.74</x:v>
      </x:c>
      <x:c r="F21"/>
      <x:c r="G21" t="n">
        <x:v>0</x:v>
      </x:c>
      <x:c r="H21" t="str"/>
    </x:row>
    <x:row r="22">
      <x:c r="A22" t="str">
        <x:v>True</x:v>
      </x:c>
      <x:c r="B22" t="str">
        <x:v>255</x:v>
      </x:c>
      <x:c r="C22" t="str">
        <x:v>A21</x:v>
      </x:c>
      <x:c r="D22" t="str">
        <x:v>Sample 21</x:v>
      </x:c>
      <x:c r="E22" t="n">
        <x:v>26.99</x:v>
      </x:c>
      <x:c r="F22"/>
      <x:c r="G22" t="n">
        <x:v>0</x:v>
      </x:c>
      <x:c r="H22" t="str"/>
    </x:row>
    <x:row r="23">
      <x:c r="A23" t="str">
        <x:v>True</x:v>
      </x:c>
      <x:c r="B23" t="str">
        <x:v>255</x:v>
      </x:c>
      <x:c r="C23" t="str">
        <x:v>A22</x:v>
      </x:c>
      <x:c r="D23" t="str">
        <x:v>Sample 22</x:v>
      </x:c>
      <x:c r="E23" t="n">
        <x:v>25.59</x:v>
      </x:c>
      <x:c r="F23"/>
      <x:c r="G23" t="n">
        <x:v>0</x:v>
      </x:c>
      <x:c r="H23" t="str"/>
    </x:row>
    <x:row r="24">
      <x:c r="A24" t="str">
        <x:v>True</x:v>
      </x:c>
      <x:c r="B24" t="str">
        <x:v>255</x:v>
      </x:c>
      <x:c r="C24" t="str">
        <x:v>A23</x:v>
      </x:c>
      <x:c r="D24" t="str">
        <x:v>Sample 23</x:v>
      </x:c>
      <x:c r="E24" t="n">
        <x:v>26.78</x:v>
      </x:c>
      <x:c r="F24"/>
      <x:c r="G24" t="n">
        <x:v>0</x:v>
      </x:c>
      <x:c r="H24" t="str"/>
    </x:row>
    <x:row r="25">
      <x:c r="A25" t="str">
        <x:v>True</x:v>
      </x:c>
      <x:c r="B25" t="str">
        <x:v>255</x:v>
      </x:c>
      <x:c r="C25" t="str">
        <x:v>A24</x:v>
      </x:c>
      <x:c r="D25" t="str">
        <x:v>Sample 24</x:v>
      </x:c>
      <x:c r="E25" t="n">
        <x:v>25.49</x:v>
      </x:c>
      <x:c r="F25"/>
      <x:c r="G25" t="n">
        <x:v>0</x:v>
      </x:c>
      <x:c r="H25" t="str"/>
    </x:row>
    <x:row r="26">
      <x:c r="A26" t="str">
        <x:v>True</x:v>
      </x:c>
      <x:c r="B26" t="str">
        <x:v>255</x:v>
      </x:c>
      <x:c r="C26" t="str">
        <x:v>B1</x:v>
      </x:c>
      <x:c r="D26" t="str">
        <x:v>Sample 25</x:v>
      </x:c>
      <x:c r="E26" t="n">
        <x:v>16.37</x:v>
      </x:c>
      <x:c r="F26"/>
      <x:c r="G26" t="n">
        <x:v>0</x:v>
      </x:c>
      <x:c r="H26" t="str"/>
    </x:row>
    <x:row r="27">
      <x:c r="A27" t="str">
        <x:v>True</x:v>
      </x:c>
      <x:c r="B27" t="str">
        <x:v>255</x:v>
      </x:c>
      <x:c r="C27" t="str">
        <x:v>B2</x:v>
      </x:c>
      <x:c r="D27" t="str">
        <x:v>Sample 26</x:v>
      </x:c>
      <x:c r="E27" t="n">
        <x:v>16.52</x:v>
      </x:c>
      <x:c r="F27"/>
      <x:c r="G27" t="n">
        <x:v>0</x:v>
      </x:c>
      <x:c r="H27" t="str"/>
    </x:row>
    <x:row r="28">
      <x:c r="A28" t="str">
        <x:v>True</x:v>
      </x:c>
      <x:c r="B28" t="str">
        <x:v>255</x:v>
      </x:c>
      <x:c r="C28" t="str">
        <x:v>B3</x:v>
      </x:c>
      <x:c r="D28" t="str">
        <x:v>Sample 27</x:v>
      </x:c>
      <x:c r="E28" t="n">
        <x:v>16.25</x:v>
      </x:c>
      <x:c r="F28"/>
      <x:c r="G28" t="n">
        <x:v>0</x:v>
      </x:c>
      <x:c r="H28" t="str"/>
    </x:row>
    <x:row r="29">
      <x:c r="A29" t="str">
        <x:v>True</x:v>
      </x:c>
      <x:c r="B29" t="str">
        <x:v>255</x:v>
      </x:c>
      <x:c r="C29" t="str">
        <x:v>B4</x:v>
      </x:c>
      <x:c r="D29" t="str">
        <x:v>Sample 28</x:v>
      </x:c>
      <x:c r="E29" t="n">
        <x:v>16.44</x:v>
      </x:c>
      <x:c r="F29"/>
      <x:c r="G29" t="n">
        <x:v>0</x:v>
      </x:c>
      <x:c r="H29" t="str"/>
    </x:row>
    <x:row r="30">
      <x:c r="A30" t="str">
        <x:v>True</x:v>
      </x:c>
      <x:c r="B30" t="str">
        <x:v>255</x:v>
      </x:c>
      <x:c r="C30" t="str">
        <x:v>B5</x:v>
      </x:c>
      <x:c r="D30" t="str">
        <x:v>Sample 29</x:v>
      </x:c>
      <x:c r="E30" t="n">
        <x:v>25.12</x:v>
      </x:c>
      <x:c r="F30"/>
      <x:c r="G30" t="n">
        <x:v>0</x:v>
      </x:c>
      <x:c r="H30" t="str"/>
    </x:row>
    <x:row r="31">
      <x:c r="A31" t="str">
        <x:v>True</x:v>
      </x:c>
      <x:c r="B31" t="str">
        <x:v>255</x:v>
      </x:c>
      <x:c r="C31" t="str">
        <x:v>B6</x:v>
      </x:c>
      <x:c r="D31" t="str">
        <x:v>Sample 30</x:v>
      </x:c>
      <x:c r="E31" t="n">
        <x:v>24.99</x:v>
      </x:c>
      <x:c r="F31"/>
      <x:c r="G31" t="n">
        <x:v>0</x:v>
      </x:c>
      <x:c r="H31" t="str"/>
    </x:row>
    <x:row r="32">
      <x:c r="A32" t="str">
        <x:v>True</x:v>
      </x:c>
      <x:c r="B32" t="str">
        <x:v>255</x:v>
      </x:c>
      <x:c r="C32" t="str">
        <x:v>B7</x:v>
      </x:c>
      <x:c r="D32" t="str">
        <x:v>Sample 31</x:v>
      </x:c>
      <x:c r="E32" t="n">
        <x:v>25.27</x:v>
      </x:c>
      <x:c r="F32"/>
      <x:c r="G32" t="n">
        <x:v>0</x:v>
      </x:c>
      <x:c r="H32" t="str"/>
    </x:row>
    <x:row r="33">
      <x:c r="A33" t="str">
        <x:v>True</x:v>
      </x:c>
      <x:c r="B33" t="str">
        <x:v>255</x:v>
      </x:c>
      <x:c r="C33" t="str">
        <x:v>B8</x:v>
      </x:c>
      <x:c r="D33" t="str">
        <x:v>Sample 32</x:v>
      </x:c>
      <x:c r="E33" t="n">
        <x:v>25.08</x:v>
      </x:c>
      <x:c r="F33"/>
      <x:c r="G33" t="n">
        <x:v>0</x:v>
      </x:c>
      <x:c r="H33" t="str"/>
    </x:row>
    <x:row r="34">
      <x:c r="A34" t="str">
        <x:v>True</x:v>
      </x:c>
      <x:c r="B34" t="str">
        <x:v>255</x:v>
      </x:c>
      <x:c r="C34" t="str">
        <x:v>B9</x:v>
      </x:c>
      <x:c r="D34" t="str">
        <x:v>Sample 33</x:v>
      </x:c>
      <x:c r="E34" t="n">
        <x:v>23.78</x:v>
      </x:c>
      <x:c r="F34"/>
      <x:c r="G34" t="n">
        <x:v>0</x:v>
      </x:c>
      <x:c r="H34" t="str"/>
    </x:row>
    <x:row r="35">
      <x:c r="A35" t="str">
        <x:v>True</x:v>
      </x:c>
      <x:c r="B35" t="str">
        <x:v>255</x:v>
      </x:c>
      <x:c r="C35" t="str">
        <x:v>B10</x:v>
      </x:c>
      <x:c r="D35" t="str">
        <x:v>Sample 34</x:v>
      </x:c>
      <x:c r="E35" t="n">
        <x:v>22.74</x:v>
      </x:c>
      <x:c r="F35"/>
      <x:c r="G35" t="n">
        <x:v>0</x:v>
      </x:c>
      <x:c r="H35" t="str"/>
    </x:row>
    <x:row r="36">
      <x:c r="A36" t="str">
        <x:v>True</x:v>
      </x:c>
      <x:c r="B36" t="str">
        <x:v>255</x:v>
      </x:c>
      <x:c r="C36" t="str">
        <x:v>B11</x:v>
      </x:c>
      <x:c r="D36" t="str">
        <x:v>Sample 35</x:v>
      </x:c>
      <x:c r="E36" t="n">
        <x:v>23.79</x:v>
      </x:c>
      <x:c r="F36"/>
      <x:c r="G36" t="n">
        <x:v>0</x:v>
      </x:c>
      <x:c r="H36" t="str"/>
    </x:row>
    <x:row r="37">
      <x:c r="A37" t="str">
        <x:v>True</x:v>
      </x:c>
      <x:c r="B37" t="str">
        <x:v>255</x:v>
      </x:c>
      <x:c r="C37" t="str">
        <x:v>B12</x:v>
      </x:c>
      <x:c r="D37" t="str">
        <x:v>Sample 36</x:v>
      </x:c>
      <x:c r="E37" t="n">
        <x:v>22.53</x:v>
      </x:c>
      <x:c r="F37"/>
      <x:c r="G37" t="n">
        <x:v>0</x:v>
      </x:c>
      <x:c r="H37" t="str"/>
    </x:row>
    <x:row r="38">
      <x:c r="A38" t="str">
        <x:v>True</x:v>
      </x:c>
      <x:c r="B38" t="str">
        <x:v>255</x:v>
      </x:c>
      <x:c r="C38" t="str">
        <x:v>B13</x:v>
      </x:c>
      <x:c r="D38" t="str">
        <x:v>Sample 37</x:v>
      </x:c>
      <x:c r="E38" t="n">
        <x:v>23.79</x:v>
      </x:c>
      <x:c r="F38"/>
      <x:c r="G38" t="n">
        <x:v>0</x:v>
      </x:c>
      <x:c r="H38" t="str"/>
    </x:row>
    <x:row r="39">
      <x:c r="A39" t="str">
        <x:v>True</x:v>
      </x:c>
      <x:c r="B39" t="str">
        <x:v>255</x:v>
      </x:c>
      <x:c r="C39" t="str">
        <x:v>B14</x:v>
      </x:c>
      <x:c r="D39" t="str">
        <x:v>Sample 38</x:v>
      </x:c>
      <x:c r="E39" t="n">
        <x:v>23.84</x:v>
      </x:c>
      <x:c r="F39"/>
      <x:c r="G39" t="n">
        <x:v>0</x:v>
      </x:c>
      <x:c r="H39" t="str"/>
    </x:row>
    <x:row r="40">
      <x:c r="A40" t="str">
        <x:v>True</x:v>
      </x:c>
      <x:c r="B40" t="str">
        <x:v>255</x:v>
      </x:c>
      <x:c r="C40" t="str">
        <x:v>B15</x:v>
      </x:c>
      <x:c r="D40" t="str">
        <x:v>Sample 39</x:v>
      </x:c>
      <x:c r="E40" t="n">
        <x:v>23.85</x:v>
      </x:c>
      <x:c r="F40"/>
      <x:c r="G40" t="n">
        <x:v>0</x:v>
      </x:c>
      <x:c r="H40" t="str"/>
    </x:row>
    <x:row r="41">
      <x:c r="A41" t="str">
        <x:v>True</x:v>
      </x:c>
      <x:c r="B41" t="str">
        <x:v>255</x:v>
      </x:c>
      <x:c r="C41" t="str">
        <x:v>B16</x:v>
      </x:c>
      <x:c r="D41" t="str">
        <x:v>Sample 40</x:v>
      </x:c>
      <x:c r="E41" t="n">
        <x:v>23.81</x:v>
      </x:c>
      <x:c r="F41"/>
      <x:c r="G41" t="n">
        <x:v>0</x:v>
      </x:c>
      <x:c r="H41" t="str"/>
    </x:row>
    <x:row r="42">
      <x:c r="A42" t="str">
        <x:v>True</x:v>
      </x:c>
      <x:c r="B42" t="str">
        <x:v>255</x:v>
      </x:c>
      <x:c r="C42" t="str">
        <x:v>B17</x:v>
      </x:c>
      <x:c r="D42" t="str">
        <x:v>Sample 41</x:v>
      </x:c>
      <x:c r="E42" t="n">
        <x:v>29.28</x:v>
      </x:c>
      <x:c r="F42"/>
      <x:c r="G42" t="n">
        <x:v>0</x:v>
      </x:c>
      <x:c r="H42" t="str"/>
    </x:row>
    <x:row r="43">
      <x:c r="A43" t="str">
        <x:v>True</x:v>
      </x:c>
      <x:c r="B43" t="str">
        <x:v>255</x:v>
      </x:c>
      <x:c r="C43" t="str">
        <x:v>B18</x:v>
      </x:c>
      <x:c r="D43" t="str">
        <x:v>Sample 42</x:v>
      </x:c>
      <x:c r="E43" t="n">
        <x:v>29.51</x:v>
      </x:c>
      <x:c r="F43"/>
      <x:c r="G43" t="n">
        <x:v>0</x:v>
      </x:c>
      <x:c r="H43" t="str"/>
    </x:row>
    <x:row r="44">
      <x:c r="A44" t="str">
        <x:v>True</x:v>
      </x:c>
      <x:c r="B44" t="str">
        <x:v>255</x:v>
      </x:c>
      <x:c r="C44" t="str">
        <x:v>B19</x:v>
      </x:c>
      <x:c r="D44" t="str">
        <x:v>Sample 43</x:v>
      </x:c>
      <x:c r="E44" t="n">
        <x:v>29.75</x:v>
      </x:c>
      <x:c r="F44"/>
      <x:c r="G44" t="n">
        <x:v>0</x:v>
      </x:c>
      <x:c r="H44" t="str"/>
    </x:row>
    <x:row r="45">
      <x:c r="A45" t="str">
        <x:v>True</x:v>
      </x:c>
      <x:c r="B45" t="str">
        <x:v>255</x:v>
      </x:c>
      <x:c r="C45" t="str">
        <x:v>B20</x:v>
      </x:c>
      <x:c r="D45" t="str">
        <x:v>Sample 44</x:v>
      </x:c>
      <x:c r="E45" t="n">
        <x:v>29.28</x:v>
      </x:c>
      <x:c r="F45"/>
      <x:c r="G45" t="n">
        <x:v>0</x:v>
      </x:c>
      <x:c r="H45" t="str"/>
    </x:row>
    <x:row r="46">
      <x:c r="A46" t="str">
        <x:v>True</x:v>
      </x:c>
      <x:c r="B46" t="str">
        <x:v>255</x:v>
      </x:c>
      <x:c r="C46" t="str">
        <x:v>B21</x:v>
      </x:c>
      <x:c r="D46" t="str">
        <x:v>Sample 45</x:v>
      </x:c>
      <x:c r="E46" t="n">
        <x:v>25.88</x:v>
      </x:c>
      <x:c r="F46"/>
      <x:c r="G46" t="n">
        <x:v>0</x:v>
      </x:c>
      <x:c r="H46" t="str"/>
    </x:row>
    <x:row r="47">
      <x:c r="A47" t="str">
        <x:v>True</x:v>
      </x:c>
      <x:c r="B47" t="str">
        <x:v>255</x:v>
      </x:c>
      <x:c r="C47" t="str">
        <x:v>B22</x:v>
      </x:c>
      <x:c r="D47" t="str">
        <x:v>Sample 46</x:v>
      </x:c>
      <x:c r="E47" t="n">
        <x:v>25.73</x:v>
      </x:c>
      <x:c r="F47"/>
      <x:c r="G47" t="n">
        <x:v>0</x:v>
      </x:c>
      <x:c r="H47" t="str"/>
    </x:row>
    <x:row r="48">
      <x:c r="A48" t="str">
        <x:v>True</x:v>
      </x:c>
      <x:c r="B48" t="str">
        <x:v>255</x:v>
      </x:c>
      <x:c r="C48" t="str">
        <x:v>B23</x:v>
      </x:c>
      <x:c r="D48" t="str">
        <x:v>Sample 47</x:v>
      </x:c>
      <x:c r="E48" t="n">
        <x:v>25.78</x:v>
      </x:c>
      <x:c r="F48"/>
      <x:c r="G48" t="n">
        <x:v>0</x:v>
      </x:c>
      <x:c r="H48" t="str"/>
    </x:row>
    <x:row r="49">
      <x:c r="A49" t="str">
        <x:v>True</x:v>
      </x:c>
      <x:c r="B49" t="str">
        <x:v>255</x:v>
      </x:c>
      <x:c r="C49" t="str">
        <x:v>B24</x:v>
      </x:c>
      <x:c r="D49" t="str">
        <x:v>Sample 48</x:v>
      </x:c>
      <x:c r="E49" t="n">
        <x:v>25.74</x:v>
      </x:c>
      <x:c r="F49"/>
      <x:c r="G49" t="n">
        <x:v>0</x:v>
      </x:c>
      <x:c r="H49" t="str"/>
    </x:row>
    <x:row r="50">
      <x:c r="A50" t="str">
        <x:v>True</x:v>
      </x:c>
      <x:c r="B50" t="str">
        <x:v>255</x:v>
      </x:c>
      <x:c r="C50" t="str">
        <x:v>C1</x:v>
      </x:c>
      <x:c r="D50" t="str">
        <x:v>Sample 49</x:v>
      </x:c>
      <x:c r="E50" t="n">
        <x:v>15.91</x:v>
      </x:c>
      <x:c r="F50"/>
      <x:c r="G50" t="n">
        <x:v>0</x:v>
      </x:c>
      <x:c r="H50" t="str"/>
    </x:row>
    <x:row r="51">
      <x:c r="A51" t="str">
        <x:v>True</x:v>
      </x:c>
      <x:c r="B51" t="str">
        <x:v>255</x:v>
      </x:c>
      <x:c r="C51" t="str">
        <x:v>C2</x:v>
      </x:c>
      <x:c r="D51" t="str">
        <x:v>Sample 50</x:v>
      </x:c>
      <x:c r="E51" t="n">
        <x:v>15.92</x:v>
      </x:c>
      <x:c r="F51"/>
      <x:c r="G51" t="n">
        <x:v>0</x:v>
      </x:c>
      <x:c r="H51" t="str"/>
    </x:row>
    <x:row r="52">
      <x:c r="A52" t="str">
        <x:v>True</x:v>
      </x:c>
      <x:c r="B52" t="str">
        <x:v>255</x:v>
      </x:c>
      <x:c r="C52" t="str">
        <x:v>C3</x:v>
      </x:c>
      <x:c r="D52" t="str">
        <x:v>Sample 51</x:v>
      </x:c>
      <x:c r="E52" t="n">
        <x:v>15.93</x:v>
      </x:c>
      <x:c r="F52"/>
      <x:c r="G52" t="n">
        <x:v>0</x:v>
      </x:c>
      <x:c r="H52" t="str"/>
    </x:row>
    <x:row r="53">
      <x:c r="A53" t="str">
        <x:v>True</x:v>
      </x:c>
      <x:c r="B53" t="str">
        <x:v>255</x:v>
      </x:c>
      <x:c r="C53" t="str">
        <x:v>C4</x:v>
      </x:c>
      <x:c r="D53" t="str">
        <x:v>Sample 52</x:v>
      </x:c>
      <x:c r="E53" t="n">
        <x:v>15.92</x:v>
      </x:c>
      <x:c r="F53"/>
      <x:c r="G53" t="n">
        <x:v>0</x:v>
      </x:c>
      <x:c r="H53" t="str"/>
    </x:row>
    <x:row r="54">
      <x:c r="A54" t="str">
        <x:v>True</x:v>
      </x:c>
      <x:c r="B54" t="str">
        <x:v>255</x:v>
      </x:c>
      <x:c r="C54" t="str">
        <x:v>C5</x:v>
      </x:c>
      <x:c r="D54" t="str">
        <x:v>Sample 53</x:v>
      </x:c>
      <x:c r="E54" t="n">
        <x:v>24.67</x:v>
      </x:c>
      <x:c r="F54"/>
      <x:c r="G54" t="n">
        <x:v>0</x:v>
      </x:c>
      <x:c r="H54" t="str"/>
    </x:row>
    <x:row r="55">
      <x:c r="A55" t="str">
        <x:v>True</x:v>
      </x:c>
      <x:c r="B55" t="str">
        <x:v>255</x:v>
      </x:c>
      <x:c r="C55" t="str">
        <x:v>C6</x:v>
      </x:c>
      <x:c r="D55" t="str">
        <x:v>Sample 54</x:v>
      </x:c>
      <x:c r="E55" t="n">
        <x:v>24.83</x:v>
      </x:c>
      <x:c r="F55"/>
      <x:c r="G55" t="n">
        <x:v>0</x:v>
      </x:c>
      <x:c r="H55" t="str"/>
    </x:row>
    <x:row r="56">
      <x:c r="A56" t="str">
        <x:v>True</x:v>
      </x:c>
      <x:c r="B56" t="str">
        <x:v>255</x:v>
      </x:c>
      <x:c r="C56" t="str">
        <x:v>C7</x:v>
      </x:c>
      <x:c r="D56" t="str">
        <x:v>Sample 55</x:v>
      </x:c>
      <x:c r="E56" t="n">
        <x:v>24.82</x:v>
      </x:c>
      <x:c r="F56"/>
      <x:c r="G56" t="n">
        <x:v>0</x:v>
      </x:c>
      <x:c r="H56" t="str"/>
    </x:row>
    <x:row r="57">
      <x:c r="A57" t="str">
        <x:v>True</x:v>
      </x:c>
      <x:c r="B57" t="str">
        <x:v>255</x:v>
      </x:c>
      <x:c r="C57" t="str">
        <x:v>C8</x:v>
      </x:c>
      <x:c r="D57" t="str">
        <x:v>Sample 56</x:v>
      </x:c>
      <x:c r="E57" t="n">
        <x:v>24.88</x:v>
      </x:c>
      <x:c r="F57"/>
      <x:c r="G57" t="n">
        <x:v>0</x:v>
      </x:c>
      <x:c r="H57" t="str"/>
    </x:row>
    <x:row r="58">
      <x:c r="A58" t="str">
        <x:v>True</x:v>
      </x:c>
      <x:c r="B58" t="str">
        <x:v>255</x:v>
      </x:c>
      <x:c r="C58" t="str">
        <x:v>C9</x:v>
      </x:c>
      <x:c r="D58" t="str">
        <x:v>Sample 57</x:v>
      </x:c>
      <x:c r="E58" t="n">
        <x:v>23.49</x:v>
      </x:c>
      <x:c r="F58"/>
      <x:c r="G58" t="n">
        <x:v>0</x:v>
      </x:c>
      <x:c r="H58" t="str"/>
    </x:row>
    <x:row r="59">
      <x:c r="A59" t="str">
        <x:v>True</x:v>
      </x:c>
      <x:c r="B59" t="str">
        <x:v>255</x:v>
      </x:c>
      <x:c r="C59" t="str">
        <x:v>C10</x:v>
      </x:c>
      <x:c r="D59" t="str">
        <x:v>Sample 58</x:v>
      </x:c>
      <x:c r="E59" t="n">
        <x:v>23.52</x:v>
      </x:c>
      <x:c r="F59"/>
      <x:c r="G59" t="n">
        <x:v>0</x:v>
      </x:c>
      <x:c r="H59" t="str"/>
    </x:row>
    <x:row r="60">
      <x:c r="A60" t="str">
        <x:v>True</x:v>
      </x:c>
      <x:c r="B60" t="str">
        <x:v>255</x:v>
      </x:c>
      <x:c r="C60" t="str">
        <x:v>C11</x:v>
      </x:c>
      <x:c r="D60" t="str">
        <x:v>Sample 59</x:v>
      </x:c>
      <x:c r="E60" t="n">
        <x:v>23.48</x:v>
      </x:c>
      <x:c r="F60"/>
      <x:c r="G60" t="n">
        <x:v>0</x:v>
      </x:c>
      <x:c r="H60" t="str"/>
    </x:row>
    <x:row r="61">
      <x:c r="A61" t="str">
        <x:v>True</x:v>
      </x:c>
      <x:c r="B61" t="str">
        <x:v>255</x:v>
      </x:c>
      <x:c r="C61" t="str">
        <x:v>C12</x:v>
      </x:c>
      <x:c r="D61" t="str">
        <x:v>Sample 60</x:v>
      </x:c>
      <x:c r="E61" t="n">
        <x:v>23.53</x:v>
      </x:c>
      <x:c r="F61"/>
      <x:c r="G61" t="n">
        <x:v>0</x:v>
      </x:c>
      <x:c r="H61" t="str"/>
    </x:row>
    <x:row r="62">
      <x:c r="A62" t="str">
        <x:v>True</x:v>
      </x:c>
      <x:c r="B62" t="str">
        <x:v>255</x:v>
      </x:c>
      <x:c r="C62" t="str">
        <x:v>C13</x:v>
      </x:c>
      <x:c r="D62" t="str">
        <x:v>Sample 61</x:v>
      </x:c>
      <x:c r="E62" t="n">
        <x:v>23.48</x:v>
      </x:c>
      <x:c r="F62"/>
      <x:c r="G62" t="n">
        <x:v>0</x:v>
      </x:c>
      <x:c r="H62" t="str"/>
    </x:row>
    <x:row r="63">
      <x:c r="A63" t="str">
        <x:v>True</x:v>
      </x:c>
      <x:c r="B63" t="str">
        <x:v>255</x:v>
      </x:c>
      <x:c r="C63" t="str">
        <x:v>C14</x:v>
      </x:c>
      <x:c r="D63" t="str">
        <x:v>Sample 62</x:v>
      </x:c>
      <x:c r="E63" t="n">
        <x:v>23.77</x:v>
      </x:c>
      <x:c r="F63"/>
      <x:c r="G63" t="n">
        <x:v>0</x:v>
      </x:c>
      <x:c r="H63" t="str"/>
    </x:row>
    <x:row r="64">
      <x:c r="A64" t="str">
        <x:v>True</x:v>
      </x:c>
      <x:c r="B64" t="str">
        <x:v>255</x:v>
      </x:c>
      <x:c r="C64" t="str">
        <x:v>C15</x:v>
      </x:c>
      <x:c r="D64" t="str">
        <x:v>Sample 63</x:v>
      </x:c>
      <x:c r="E64" t="n">
        <x:v>23.6</x:v>
      </x:c>
      <x:c r="F64"/>
      <x:c r="G64" t="n">
        <x:v>0</x:v>
      </x:c>
      <x:c r="H64" t="str"/>
    </x:row>
    <x:row r="65">
      <x:c r="A65" t="str">
        <x:v>True</x:v>
      </x:c>
      <x:c r="B65" t="str">
        <x:v>255</x:v>
      </x:c>
      <x:c r="C65" t="str">
        <x:v>C16</x:v>
      </x:c>
      <x:c r="D65" t="str">
        <x:v>Sample 64</x:v>
      </x:c>
      <x:c r="E65" t="n">
        <x:v>23.51</x:v>
      </x:c>
      <x:c r="F65"/>
      <x:c r="G65" t="n">
        <x:v>0</x:v>
      </x:c>
      <x:c r="H65" t="str"/>
    </x:row>
    <x:row r="66">
      <x:c r="A66" t="str">
        <x:v>True</x:v>
      </x:c>
      <x:c r="B66" t="str">
        <x:v>255</x:v>
      </x:c>
      <x:c r="C66" t="str">
        <x:v>C17</x:v>
      </x:c>
      <x:c r="D66" t="str">
        <x:v>Sample 65</x:v>
      </x:c>
      <x:c r="E66" t="n">
        <x:v>27.03</x:v>
      </x:c>
      <x:c r="F66"/>
      <x:c r="G66" t="n">
        <x:v>0</x:v>
      </x:c>
      <x:c r="H66" t="str"/>
    </x:row>
    <x:row r="67">
      <x:c r="A67" t="str">
        <x:v>True</x:v>
      </x:c>
      <x:c r="B67" t="str">
        <x:v>255</x:v>
      </x:c>
      <x:c r="C67" t="str">
        <x:v>C18</x:v>
      </x:c>
      <x:c r="D67" t="str">
        <x:v>Sample 66</x:v>
      </x:c>
      <x:c r="E67" t="n">
        <x:v>27.04</x:v>
      </x:c>
      <x:c r="F67"/>
      <x:c r="G67" t="n">
        <x:v>0</x:v>
      </x:c>
      <x:c r="H67" t="str"/>
    </x:row>
    <x:row r="68">
      <x:c r="A68" t="str">
        <x:v>True</x:v>
      </x:c>
      <x:c r="B68" t="str">
        <x:v>255</x:v>
      </x:c>
      <x:c r="C68" t="str">
        <x:v>C19</x:v>
      </x:c>
      <x:c r="D68" t="str">
        <x:v>Sample 67</x:v>
      </x:c>
      <x:c r="E68" t="n">
        <x:v>27.28</x:v>
      </x:c>
      <x:c r="F68"/>
      <x:c r="G68" t="n">
        <x:v>0</x:v>
      </x:c>
      <x:c r="H68" t="str"/>
    </x:row>
    <x:row r="69">
      <x:c r="A69" t="str">
        <x:v>True</x:v>
      </x:c>
      <x:c r="B69" t="str">
        <x:v>255</x:v>
      </x:c>
      <x:c r="C69" t="str">
        <x:v>C20</x:v>
      </x:c>
      <x:c r="D69" t="str">
        <x:v>Sample 68</x:v>
      </x:c>
      <x:c r="E69" t="n">
        <x:v>27.33</x:v>
      </x:c>
      <x:c r="F69"/>
      <x:c r="G69" t="n">
        <x:v>0</x:v>
      </x:c>
      <x:c r="H69" t="str"/>
    </x:row>
    <x:row r="70">
      <x:c r="A70" t="str">
        <x:v>True</x:v>
      </x:c>
      <x:c r="B70" t="str">
        <x:v>255</x:v>
      </x:c>
      <x:c r="C70" t="str">
        <x:v>C21</x:v>
      </x:c>
      <x:c r="D70" t="str">
        <x:v>Sample 69</x:v>
      </x:c>
      <x:c r="E70" t="n">
        <x:v>26.84</x:v>
      </x:c>
      <x:c r="F70"/>
      <x:c r="G70" t="n">
        <x:v>0</x:v>
      </x:c>
      <x:c r="H70" t="str"/>
    </x:row>
    <x:row r="71">
      <x:c r="A71" t="str">
        <x:v>True</x:v>
      </x:c>
      <x:c r="B71" t="str">
        <x:v>255</x:v>
      </x:c>
      <x:c r="C71" t="str">
        <x:v>C22</x:v>
      </x:c>
      <x:c r="D71" t="str">
        <x:v>Sample 70</x:v>
      </x:c>
      <x:c r="E71" t="n">
        <x:v>26.73</x:v>
      </x:c>
      <x:c r="F71"/>
      <x:c r="G71" t="n">
        <x:v>0</x:v>
      </x:c>
      <x:c r="H71" t="str"/>
    </x:row>
    <x:row r="72">
      <x:c r="A72" t="str">
        <x:v>True</x:v>
      </x:c>
      <x:c r="B72" t="str">
        <x:v>255</x:v>
      </x:c>
      <x:c r="C72" t="str">
        <x:v>C23</x:v>
      </x:c>
      <x:c r="D72" t="str">
        <x:v>Sample 71</x:v>
      </x:c>
      <x:c r="E72" t="n">
        <x:v>26.8</x:v>
      </x:c>
      <x:c r="F72"/>
      <x:c r="G72" t="n">
        <x:v>0</x:v>
      </x:c>
      <x:c r="H72" t="str"/>
    </x:row>
    <x:row r="73">
      <x:c r="A73" t="str">
        <x:v>True</x:v>
      </x:c>
      <x:c r="B73" t="str">
        <x:v>255</x:v>
      </x:c>
      <x:c r="C73" t="str">
        <x:v>C24</x:v>
      </x:c>
      <x:c r="D73" t="str">
        <x:v>Sample 72</x:v>
      </x:c>
      <x:c r="E73" t="n">
        <x:v>26.75</x:v>
      </x:c>
      <x:c r="F73"/>
      <x:c r="G73" t="n">
        <x:v>0</x:v>
      </x:c>
      <x:c r="H73" t="str"/>
    </x:row>
    <x:row r="74">
      <x:c r="A74" t="str">
        <x:v>True</x:v>
      </x:c>
      <x:c r="B74" t="str">
        <x:v>255</x:v>
      </x:c>
      <x:c r="C74" t="str">
        <x:v>D1</x:v>
      </x:c>
      <x:c r="D74" t="str">
        <x:v>Sample 73</x:v>
      </x:c>
      <x:c r="E74" t="n">
        <x:v>16.83</x:v>
      </x:c>
      <x:c r="F74"/>
      <x:c r="G74" t="n">
        <x:v>0</x:v>
      </x:c>
      <x:c r="H74" t="str"/>
    </x:row>
    <x:row r="75">
      <x:c r="A75" t="str">
        <x:v>True</x:v>
      </x:c>
      <x:c r="B75" t="str">
        <x:v>255</x:v>
      </x:c>
      <x:c r="C75" t="str">
        <x:v>D2</x:v>
      </x:c>
      <x:c r="D75" t="str">
        <x:v>Sample 74</x:v>
      </x:c>
      <x:c r="E75" t="n">
        <x:v>16.83</x:v>
      </x:c>
      <x:c r="F75"/>
      <x:c r="G75" t="n">
        <x:v>0</x:v>
      </x:c>
      <x:c r="H75" t="str"/>
    </x:row>
    <x:row r="76">
      <x:c r="A76" t="str">
        <x:v>True</x:v>
      </x:c>
      <x:c r="B76" t="str">
        <x:v>255</x:v>
      </x:c>
      <x:c r="C76" t="str">
        <x:v>D3</x:v>
      </x:c>
      <x:c r="D76" t="str">
        <x:v>Sample 75</x:v>
      </x:c>
      <x:c r="E76" t="n">
        <x:v>16.78</x:v>
      </x:c>
      <x:c r="F76"/>
      <x:c r="G76" t="n">
        <x:v>0</x:v>
      </x:c>
      <x:c r="H76" t="str"/>
    </x:row>
    <x:row r="77">
      <x:c r="A77" t="str">
        <x:v>True</x:v>
      </x:c>
      <x:c r="B77" t="str">
        <x:v>255</x:v>
      </x:c>
      <x:c r="C77" t="str">
        <x:v>D4</x:v>
      </x:c>
      <x:c r="D77" t="str">
        <x:v>Sample 76</x:v>
      </x:c>
      <x:c r="E77" t="n">
        <x:v>16.9</x:v>
      </x:c>
      <x:c r="F77"/>
      <x:c r="G77" t="n">
        <x:v>0</x:v>
      </x:c>
      <x:c r="H77" t="str"/>
    </x:row>
    <x:row r="78">
      <x:c r="A78" t="str">
        <x:v>True</x:v>
      </x:c>
      <x:c r="B78" t="str">
        <x:v>255</x:v>
      </x:c>
      <x:c r="C78" t="str">
        <x:v>D5</x:v>
      </x:c>
      <x:c r="D78" t="str">
        <x:v>Sample 77</x:v>
      </x:c>
      <x:c r="E78" t="n">
        <x:v>25.52</x:v>
      </x:c>
      <x:c r="F78"/>
      <x:c r="G78" t="n">
        <x:v>0</x:v>
      </x:c>
      <x:c r="H78" t="str"/>
    </x:row>
    <x:row r="79">
      <x:c r="A79" t="str">
        <x:v>True</x:v>
      </x:c>
      <x:c r="B79" t="str">
        <x:v>255</x:v>
      </x:c>
      <x:c r="C79" t="str">
        <x:v>D6</x:v>
      </x:c>
      <x:c r="D79" t="str">
        <x:v>Sample 78</x:v>
      </x:c>
      <x:c r="E79" t="n">
        <x:v>25.62</x:v>
      </x:c>
      <x:c r="F79"/>
      <x:c r="G79" t="n">
        <x:v>0</x:v>
      </x:c>
      <x:c r="H79" t="str"/>
    </x:row>
    <x:row r="80">
      <x:c r="A80" t="str">
        <x:v>True</x:v>
      </x:c>
      <x:c r="B80" t="str">
        <x:v>255</x:v>
      </x:c>
      <x:c r="C80" t="str">
        <x:v>D7</x:v>
      </x:c>
      <x:c r="D80" t="str">
        <x:v>Sample 79</x:v>
      </x:c>
      <x:c r="E80" t="n">
        <x:v>25.63</x:v>
      </x:c>
      <x:c r="F80"/>
      <x:c r="G80" t="n">
        <x:v>0</x:v>
      </x:c>
      <x:c r="H80" t="str"/>
    </x:row>
    <x:row r="81">
      <x:c r="A81" t="str">
        <x:v>True</x:v>
      </x:c>
      <x:c r="B81" t="str">
        <x:v>255</x:v>
      </x:c>
      <x:c r="C81" t="str">
        <x:v>D8</x:v>
      </x:c>
      <x:c r="D81" t="str">
        <x:v>Sample 80</x:v>
      </x:c>
      <x:c r="E81" t="n">
        <x:v>25.52</x:v>
      </x:c>
      <x:c r="F81"/>
      <x:c r="G81" t="n">
        <x:v>0</x:v>
      </x:c>
      <x:c r="H81" t="str"/>
    </x:row>
    <x:row r="82">
      <x:c r="A82" t="str">
        <x:v>True</x:v>
      </x:c>
      <x:c r="B82" t="str">
        <x:v>255</x:v>
      </x:c>
      <x:c r="C82" t="str">
        <x:v>D9</x:v>
      </x:c>
      <x:c r="D82" t="str">
        <x:v>Sample 81</x:v>
      </x:c>
      <x:c r="E82" t="n">
        <x:v>24.6</x:v>
      </x:c>
      <x:c r="F82"/>
      <x:c r="G82" t="n">
        <x:v>0</x:v>
      </x:c>
      <x:c r="H82" t="str"/>
    </x:row>
    <x:row r="83">
      <x:c r="A83" t="str">
        <x:v>True</x:v>
      </x:c>
      <x:c r="B83" t="str">
        <x:v>255</x:v>
      </x:c>
      <x:c r="C83" t="str">
        <x:v>D10</x:v>
      </x:c>
      <x:c r="D83" t="str">
        <x:v>Sample 82</x:v>
      </x:c>
      <x:c r="E83" t="n">
        <x:v>23.6</x:v>
      </x:c>
      <x:c r="F83"/>
      <x:c r="G83" t="n">
        <x:v>0</x:v>
      </x:c>
      <x:c r="H83" t="str"/>
    </x:row>
    <x:row r="84">
      <x:c r="A84" t="str">
        <x:v>True</x:v>
      </x:c>
      <x:c r="B84" t="str">
        <x:v>255</x:v>
      </x:c>
      <x:c r="C84" t="str">
        <x:v>D11</x:v>
      </x:c>
      <x:c r="D84" t="str">
        <x:v>Sample 83</x:v>
      </x:c>
      <x:c r="E84" t="n">
        <x:v>24.57</x:v>
      </x:c>
      <x:c r="F84"/>
      <x:c r="G84" t="n">
        <x:v>0</x:v>
      </x:c>
      <x:c r="H84" t="str"/>
    </x:row>
    <x:row r="85">
      <x:c r="A85" t="str">
        <x:v>True</x:v>
      </x:c>
      <x:c r="B85" t="str">
        <x:v>255</x:v>
      </x:c>
      <x:c r="C85" t="str">
        <x:v>D12</x:v>
      </x:c>
      <x:c r="D85" t="str">
        <x:v>Sample 84</x:v>
      </x:c>
      <x:c r="E85" t="n">
        <x:v>24.29</x:v>
      </x:c>
      <x:c r="F85"/>
      <x:c r="G85" t="n">
        <x:v>0</x:v>
      </x:c>
      <x:c r="H85" t="str"/>
    </x:row>
    <x:row r="86">
      <x:c r="A86" t="str">
        <x:v>True</x:v>
      </x:c>
      <x:c r="B86" t="str">
        <x:v>255</x:v>
      </x:c>
      <x:c r="C86" t="str">
        <x:v>D13</x:v>
      </x:c>
      <x:c r="D86" t="str">
        <x:v>Sample 85</x:v>
      </x:c>
      <x:c r="E86" t="n">
        <x:v>24.71</x:v>
      </x:c>
      <x:c r="F86"/>
      <x:c r="G86" t="n">
        <x:v>0</x:v>
      </x:c>
      <x:c r="H86" t="str"/>
    </x:row>
    <x:row r="87">
      <x:c r="A87" t="str">
        <x:v>True</x:v>
      </x:c>
      <x:c r="B87" t="str">
        <x:v>255</x:v>
      </x:c>
      <x:c r="C87" t="str">
        <x:v>D14</x:v>
      </x:c>
      <x:c r="D87" t="str">
        <x:v>Sample 86</x:v>
      </x:c>
      <x:c r="E87" t="n">
        <x:v>24.76</x:v>
      </x:c>
      <x:c r="F87"/>
      <x:c r="G87" t="n">
        <x:v>0</x:v>
      </x:c>
      <x:c r="H87" t="str"/>
    </x:row>
    <x:row r="88">
      <x:c r="A88" t="str">
        <x:v>True</x:v>
      </x:c>
      <x:c r="B88" t="str">
        <x:v>255</x:v>
      </x:c>
      <x:c r="C88" t="str">
        <x:v>D15</x:v>
      </x:c>
      <x:c r="D88" t="str">
        <x:v>Sample 87</x:v>
      </x:c>
      <x:c r="E88" t="n">
        <x:v>24.78</x:v>
      </x:c>
      <x:c r="F88"/>
      <x:c r="G88" t="n">
        <x:v>0</x:v>
      </x:c>
      <x:c r="H88" t="str"/>
    </x:row>
    <x:row r="89">
      <x:c r="A89" t="str">
        <x:v>True</x:v>
      </x:c>
      <x:c r="B89" t="str">
        <x:v>255</x:v>
      </x:c>
      <x:c r="C89" t="str">
        <x:v>D16</x:v>
      </x:c>
      <x:c r="D89" t="str">
        <x:v>Sample 88</x:v>
      </x:c>
      <x:c r="E89" t="n">
        <x:v>24.2</x:v>
      </x:c>
      <x:c r="F89"/>
      <x:c r="G89" t="n">
        <x:v>0</x:v>
      </x:c>
      <x:c r="H89" t="str"/>
    </x:row>
    <x:row r="90">
      <x:c r="A90" t="str">
        <x:v>True</x:v>
      </x:c>
      <x:c r="B90" t="str">
        <x:v>255</x:v>
      </x:c>
      <x:c r="C90" t="str">
        <x:v>D17</x:v>
      </x:c>
      <x:c r="D90" t="str">
        <x:v>Sample 89</x:v>
      </x:c>
      <x:c r="E90" t="n">
        <x:v>29.98</x:v>
      </x:c>
      <x:c r="F90"/>
      <x:c r="G90" t="n">
        <x:v>0</x:v>
      </x:c>
      <x:c r="H90" t="str"/>
    </x:row>
    <x:row r="91">
      <x:c r="A91" t="str">
        <x:v>True</x:v>
      </x:c>
      <x:c r="B91" t="str">
        <x:v>255</x:v>
      </x:c>
      <x:c r="C91" t="str">
        <x:v>D18</x:v>
      </x:c>
      <x:c r="D91" t="str">
        <x:v>Sample 90</x:v>
      </x:c>
      <x:c r="E91" t="n">
        <x:v>30.05</x:v>
      </x:c>
      <x:c r="F91"/>
      <x:c r="G91" t="n">
        <x:v>0</x:v>
      </x:c>
      <x:c r="H91" t="str"/>
    </x:row>
    <x:row r="92">
      <x:c r="A92" t="str">
        <x:v>True</x:v>
      </x:c>
      <x:c r="B92" t="str">
        <x:v>255</x:v>
      </x:c>
      <x:c r="C92" t="str">
        <x:v>D19</x:v>
      </x:c>
      <x:c r="D92" t="str">
        <x:v>Sample 91</x:v>
      </x:c>
      <x:c r="E92" t="n">
        <x:v>29.92</x:v>
      </x:c>
      <x:c r="F92"/>
      <x:c r="G92" t="n">
        <x:v>0</x:v>
      </x:c>
      <x:c r="H92" t="str"/>
    </x:row>
    <x:row r="93">
      <x:c r="A93" t="str">
        <x:v>True</x:v>
      </x:c>
      <x:c r="B93" t="str">
        <x:v>255</x:v>
      </x:c>
      <x:c r="C93" t="str">
        <x:v>D20</x:v>
      </x:c>
      <x:c r="D93" t="str">
        <x:v>Sample 92</x:v>
      </x:c>
      <x:c r="E93" t="n">
        <x:v>29.68</x:v>
      </x:c>
      <x:c r="F93"/>
      <x:c r="G93" t="n">
        <x:v>0</x:v>
      </x:c>
      <x:c r="H93" t="str"/>
    </x:row>
    <x:row r="94">
      <x:c r="A94" t="str">
        <x:v>True</x:v>
      </x:c>
      <x:c r="B94" t="str">
        <x:v>255</x:v>
      </x:c>
      <x:c r="C94" t="str">
        <x:v>D21</x:v>
      </x:c>
      <x:c r="D94" t="str">
        <x:v>Sample 93</x:v>
      </x:c>
      <x:c r="E94" t="n">
        <x:v>27.03</x:v>
      </x:c>
      <x:c r="F94"/>
      <x:c r="G94" t="n">
        <x:v>0</x:v>
      </x:c>
      <x:c r="H94" t="str"/>
    </x:row>
    <x:row r="95">
      <x:c r="A95" t="str">
        <x:v>True</x:v>
      </x:c>
      <x:c r="B95" t="str">
        <x:v>255</x:v>
      </x:c>
      <x:c r="C95" t="str">
        <x:v>D22</x:v>
      </x:c>
      <x:c r="D95" t="str">
        <x:v>Sample 94</x:v>
      </x:c>
      <x:c r="E95" t="n">
        <x:v>26.74</x:v>
      </x:c>
      <x:c r="F95"/>
      <x:c r="G95" t="n">
        <x:v>0</x:v>
      </x:c>
      <x:c r="H95" t="str"/>
    </x:row>
    <x:row r="96">
      <x:c r="A96" t="str">
        <x:v>True</x:v>
      </x:c>
      <x:c r="B96" t="str">
        <x:v>255</x:v>
      </x:c>
      <x:c r="C96" t="str">
        <x:v>D23</x:v>
      </x:c>
      <x:c r="D96" t="str">
        <x:v>Sample 95</x:v>
      </x:c>
      <x:c r="E96" t="n">
        <x:v>26.55</x:v>
      </x:c>
      <x:c r="F96"/>
      <x:c r="G96" t="n">
        <x:v>0</x:v>
      </x:c>
      <x:c r="H96" t="str"/>
    </x:row>
    <x:row r="97">
      <x:c r="A97" t="str">
        <x:v>True</x:v>
      </x:c>
      <x:c r="B97" t="str">
        <x:v>255</x:v>
      </x:c>
      <x:c r="C97" t="str">
        <x:v>D24</x:v>
      </x:c>
      <x:c r="D97" t="str">
        <x:v>Sample 96</x:v>
      </x:c>
      <x:c r="E97" t="n">
        <x:v>26.55</x:v>
      </x:c>
      <x:c r="F97"/>
      <x:c r="G97" t="n">
        <x:v>0</x:v>
      </x:c>
      <x:c r="H97" t="str"/>
    </x:row>
    <x:row r="98">
      <x:c r="A98" t="str">
        <x:v>True</x:v>
      </x:c>
      <x:c r="B98" t="str">
        <x:v>255</x:v>
      </x:c>
      <x:c r="C98" t="str">
        <x:v>E1</x:v>
      </x:c>
      <x:c r="D98" t="str">
        <x:v>Sample 97</x:v>
      </x:c>
      <x:c r="E98" t="n">
        <x:v>16.08</x:v>
      </x:c>
      <x:c r="F98"/>
      <x:c r="G98" t="n">
        <x:v>0</x:v>
      </x:c>
      <x:c r="H98" t="str"/>
    </x:row>
    <x:row r="99">
      <x:c r="A99" t="str">
        <x:v>True</x:v>
      </x:c>
      <x:c r="B99" t="str">
        <x:v>255</x:v>
      </x:c>
      <x:c r="C99" t="str">
        <x:v>E2</x:v>
      </x:c>
      <x:c r="D99" t="str">
        <x:v>Sample 98</x:v>
      </x:c>
      <x:c r="E99" t="n">
        <x:v>16.1</x:v>
      </x:c>
      <x:c r="F99"/>
      <x:c r="G99" t="n">
        <x:v>0</x:v>
      </x:c>
      <x:c r="H99" t="str"/>
    </x:row>
    <x:row r="100">
      <x:c r="A100" t="str">
        <x:v>True</x:v>
      </x:c>
      <x:c r="B100" t="str">
        <x:v>255</x:v>
      </x:c>
      <x:c r="C100" t="str">
        <x:v>E3</x:v>
      </x:c>
      <x:c r="D100" t="str">
        <x:v>Sample 99</x:v>
      </x:c>
      <x:c r="E100" t="n">
        <x:v>16.1</x:v>
      </x:c>
      <x:c r="F100"/>
      <x:c r="G100" t="n">
        <x:v>0</x:v>
      </x:c>
      <x:c r="H100" t="str"/>
    </x:row>
    <x:row r="101">
      <x:c r="A101" t="str">
        <x:v>True</x:v>
      </x:c>
      <x:c r="B101" t="str">
        <x:v>255</x:v>
      </x:c>
      <x:c r="C101" t="str">
        <x:v>E4</x:v>
      </x:c>
      <x:c r="D101" t="str">
        <x:v>Sample 100</x:v>
      </x:c>
      <x:c r="E101" t="n">
        <x:v>16.1</x:v>
      </x:c>
      <x:c r="F101"/>
      <x:c r="G101" t="n">
        <x:v>0</x:v>
      </x:c>
      <x:c r="H101" t="str"/>
    </x:row>
    <x:row r="102">
      <x:c r="A102" t="str">
        <x:v>True</x:v>
      </x:c>
      <x:c r="B102" t="str">
        <x:v>255</x:v>
      </x:c>
      <x:c r="C102" t="str">
        <x:v>E5</x:v>
      </x:c>
      <x:c r="D102" t="str">
        <x:v>Sample 101</x:v>
      </x:c>
      <x:c r="E102" t="n">
        <x:v>24.93</x:v>
      </x:c>
      <x:c r="F102"/>
      <x:c r="G102" t="n">
        <x:v>0</x:v>
      </x:c>
      <x:c r="H102" t="str"/>
    </x:row>
    <x:row r="103">
      <x:c r="A103" t="str">
        <x:v>True</x:v>
      </x:c>
      <x:c r="B103" t="str">
        <x:v>255</x:v>
      </x:c>
      <x:c r="C103" t="str">
        <x:v>E6</x:v>
      </x:c>
      <x:c r="D103" t="str">
        <x:v>Sample 102</x:v>
      </x:c>
      <x:c r="E103" t="n">
        <x:v>25</x:v>
      </x:c>
      <x:c r="F103"/>
      <x:c r="G103" t="n">
        <x:v>0</x:v>
      </x:c>
      <x:c r="H103" t="str"/>
    </x:row>
    <x:row r="104">
      <x:c r="A104" t="str">
        <x:v>True</x:v>
      </x:c>
      <x:c r="B104" t="str">
        <x:v>255</x:v>
      </x:c>
      <x:c r="C104" t="str">
        <x:v>E7</x:v>
      </x:c>
      <x:c r="D104" t="str">
        <x:v>Sample 103</x:v>
      </x:c>
      <x:c r="E104" t="n">
        <x:v>24.95</x:v>
      </x:c>
      <x:c r="F104"/>
      <x:c r="G104" t="n">
        <x:v>0</x:v>
      </x:c>
      <x:c r="H104" t="str"/>
    </x:row>
    <x:row r="105">
      <x:c r="A105" t="str">
        <x:v>True</x:v>
      </x:c>
      <x:c r="B105" t="str">
        <x:v>255</x:v>
      </x:c>
      <x:c r="C105" t="str">
        <x:v>E8</x:v>
      </x:c>
      <x:c r="D105" t="str">
        <x:v>Sample 104</x:v>
      </x:c>
      <x:c r="E105" t="n">
        <x:v>25.15</x:v>
      </x:c>
      <x:c r="F105"/>
      <x:c r="G105" t="n">
        <x:v>0</x:v>
      </x:c>
      <x:c r="H105" t="str"/>
    </x:row>
    <x:row r="106">
      <x:c r="A106" t="str">
        <x:v>True</x:v>
      </x:c>
      <x:c r="B106" t="str">
        <x:v>255</x:v>
      </x:c>
      <x:c r="C106" t="str">
        <x:v>E9</x:v>
      </x:c>
      <x:c r="D106" t="str">
        <x:v>Sample 105</x:v>
      </x:c>
      <x:c r="E106" t="n">
        <x:v>23.63</x:v>
      </x:c>
      <x:c r="F106"/>
      <x:c r="G106" t="n">
        <x:v>0</x:v>
      </x:c>
      <x:c r="H106" t="str"/>
    </x:row>
    <x:row r="107">
      <x:c r="A107" t="str">
        <x:v>True</x:v>
      </x:c>
      <x:c r="B107" t="str">
        <x:v>255</x:v>
      </x:c>
      <x:c r="C107" t="str">
        <x:v>E10</x:v>
      </x:c>
      <x:c r="D107" t="str">
        <x:v>Sample 106</x:v>
      </x:c>
      <x:c r="E107" t="n">
        <x:v>23.64</x:v>
      </x:c>
      <x:c r="F107"/>
      <x:c r="G107" t="n">
        <x:v>0</x:v>
      </x:c>
      <x:c r="H107" t="str"/>
    </x:row>
    <x:row r="108">
      <x:c r="A108" t="str">
        <x:v>True</x:v>
      </x:c>
      <x:c r="B108" t="str">
        <x:v>255</x:v>
      </x:c>
      <x:c r="C108" t="str">
        <x:v>E11</x:v>
      </x:c>
      <x:c r="D108" t="str">
        <x:v>Sample 107</x:v>
      </x:c>
      <x:c r="E108" t="n">
        <x:v>23.61</x:v>
      </x:c>
      <x:c r="F108"/>
      <x:c r="G108" t="n">
        <x:v>0</x:v>
      </x:c>
      <x:c r="H108" t="str"/>
    </x:row>
    <x:row r="109">
      <x:c r="A109" t="str">
        <x:v>True</x:v>
      </x:c>
      <x:c r="B109" t="str">
        <x:v>255</x:v>
      </x:c>
      <x:c r="C109" t="str">
        <x:v>E12</x:v>
      </x:c>
      <x:c r="D109" t="str">
        <x:v>Sample 108</x:v>
      </x:c>
      <x:c r="E109" t="n">
        <x:v>23.72</x:v>
      </x:c>
      <x:c r="F109"/>
      <x:c r="G109" t="n">
        <x:v>0</x:v>
      </x:c>
      <x:c r="H109" t="str"/>
    </x:row>
    <x:row r="110">
      <x:c r="A110" t="str">
        <x:v>True</x:v>
      </x:c>
      <x:c r="B110" t="str">
        <x:v>255</x:v>
      </x:c>
      <x:c r="C110" t="str">
        <x:v>E13</x:v>
      </x:c>
      <x:c r="D110" t="str">
        <x:v>Sample 109</x:v>
      </x:c>
      <x:c r="E110" t="n">
        <x:v>23.67</x:v>
      </x:c>
      <x:c r="F110"/>
      <x:c r="G110" t="n">
        <x:v>0</x:v>
      </x:c>
      <x:c r="H110" t="str"/>
    </x:row>
    <x:row r="111">
      <x:c r="A111" t="str">
        <x:v>True</x:v>
      </x:c>
      <x:c r="B111" t="str">
        <x:v>255</x:v>
      </x:c>
      <x:c r="C111" t="str">
        <x:v>E14</x:v>
      </x:c>
      <x:c r="D111" t="str">
        <x:v>Sample 110</x:v>
      </x:c>
      <x:c r="E111" t="n">
        <x:v>26.46</x:v>
      </x:c>
      <x:c r="F111"/>
      <x:c r="G111" t="n">
        <x:v>0</x:v>
      </x:c>
      <x:c r="H111" t="str"/>
    </x:row>
    <x:row r="112">
      <x:c r="A112" t="str">
        <x:v>True</x:v>
      </x:c>
      <x:c r="B112" t="str">
        <x:v>255</x:v>
      </x:c>
      <x:c r="C112" t="str">
        <x:v>E15</x:v>
      </x:c>
      <x:c r="D112" t="str">
        <x:v>Sample 111</x:v>
      </x:c>
      <x:c r="E112" t="n">
        <x:v>23.7</x:v>
      </x:c>
      <x:c r="F112"/>
      <x:c r="G112" t="n">
        <x:v>0</x:v>
      </x:c>
      <x:c r="H112" t="str"/>
    </x:row>
    <x:row r="113">
      <x:c r="A113" t="str">
        <x:v>True</x:v>
      </x:c>
      <x:c r="B113" t="str">
        <x:v>255</x:v>
      </x:c>
      <x:c r="C113" t="str">
        <x:v>E16</x:v>
      </x:c>
      <x:c r="D113" t="str">
        <x:v>Sample 112</x:v>
      </x:c>
      <x:c r="E113" t="n">
        <x:v>23.65</x:v>
      </x:c>
      <x:c r="F113"/>
      <x:c r="G113" t="n">
        <x:v>0</x:v>
      </x:c>
      <x:c r="H113" t="str"/>
    </x:row>
    <x:row r="114">
      <x:c r="A114" t="str">
        <x:v>True</x:v>
      </x:c>
      <x:c r="B114" t="str">
        <x:v>255</x:v>
      </x:c>
      <x:c r="C114" t="str">
        <x:v>E17</x:v>
      </x:c>
      <x:c r="D114" t="str">
        <x:v>Sample 113</x:v>
      </x:c>
      <x:c r="E114" t="n">
        <x:v>27.8</x:v>
      </x:c>
      <x:c r="F114"/>
      <x:c r="G114" t="n">
        <x:v>0</x:v>
      </x:c>
      <x:c r="H114" t="str"/>
    </x:row>
    <x:row r="115">
      <x:c r="A115" t="str">
        <x:v>True</x:v>
      </x:c>
      <x:c r="B115" t="str">
        <x:v>255</x:v>
      </x:c>
      <x:c r="C115" t="str">
        <x:v>E18</x:v>
      </x:c>
      <x:c r="D115" t="str">
        <x:v>Sample 114</x:v>
      </x:c>
      <x:c r="E115" t="n">
        <x:v>27.62</x:v>
      </x:c>
      <x:c r="F115"/>
      <x:c r="G115" t="n">
        <x:v>0</x:v>
      </x:c>
      <x:c r="H115" t="str"/>
    </x:row>
    <x:row r="116">
      <x:c r="A116" t="str">
        <x:v>True</x:v>
      </x:c>
      <x:c r="B116" t="str">
        <x:v>255</x:v>
      </x:c>
      <x:c r="C116" t="str">
        <x:v>E19</x:v>
      </x:c>
      <x:c r="D116" t="str">
        <x:v>Sample 115</x:v>
      </x:c>
      <x:c r="E116" t="n">
        <x:v>27.42</x:v>
      </x:c>
      <x:c r="F116"/>
      <x:c r="G116" t="n">
        <x:v>0</x:v>
      </x:c>
      <x:c r="H116" t="str"/>
    </x:row>
    <x:row r="117">
      <x:c r="A117" t="str">
        <x:v>True</x:v>
      </x:c>
      <x:c r="B117" t="str">
        <x:v>255</x:v>
      </x:c>
      <x:c r="C117" t="str">
        <x:v>E20</x:v>
      </x:c>
      <x:c r="D117" t="str">
        <x:v>Sample 116</x:v>
      </x:c>
      <x:c r="E117" t="n">
        <x:v>27.59</x:v>
      </x:c>
      <x:c r="F117"/>
      <x:c r="G117" t="n">
        <x:v>0</x:v>
      </x:c>
      <x:c r="H117" t="str"/>
    </x:row>
    <x:row r="118">
      <x:c r="A118" t="str">
        <x:v>True</x:v>
      </x:c>
      <x:c r="B118" t="str">
        <x:v>255</x:v>
      </x:c>
      <x:c r="C118" t="str">
        <x:v>E21</x:v>
      </x:c>
      <x:c r="D118" t="str">
        <x:v>Sample 117</x:v>
      </x:c>
      <x:c r="E118" t="n">
        <x:v>26.98</x:v>
      </x:c>
      <x:c r="F118"/>
      <x:c r="G118" t="n">
        <x:v>0</x:v>
      </x:c>
      <x:c r="H118" t="str"/>
    </x:row>
    <x:row r="119">
      <x:c r="A119" t="str">
        <x:v>True</x:v>
      </x:c>
      <x:c r="B119" t="str">
        <x:v>255</x:v>
      </x:c>
      <x:c r="C119" t="str">
        <x:v>E22</x:v>
      </x:c>
      <x:c r="D119" t="str">
        <x:v>Sample 118</x:v>
      </x:c>
      <x:c r="E119" t="n">
        <x:v>27.07</x:v>
      </x:c>
      <x:c r="F119"/>
      <x:c r="G119" t="n">
        <x:v>0</x:v>
      </x:c>
      <x:c r="H119" t="str"/>
    </x:row>
    <x:row r="120">
      <x:c r="A120" t="str">
        <x:v>True</x:v>
      </x:c>
      <x:c r="B120" t="str">
        <x:v>255</x:v>
      </x:c>
      <x:c r="C120" t="str">
        <x:v>E23</x:v>
      </x:c>
      <x:c r="D120" t="str">
        <x:v>Sample 119</x:v>
      </x:c>
      <x:c r="E120" t="n">
        <x:v>25.67</x:v>
      </x:c>
      <x:c r="F120"/>
      <x:c r="G120" t="n">
        <x:v>0</x:v>
      </x:c>
      <x:c r="H120" t="str"/>
    </x:row>
    <x:row r="121">
      <x:c r="A121" t="str">
        <x:v>True</x:v>
      </x:c>
      <x:c r="B121" t="str">
        <x:v>255</x:v>
      </x:c>
      <x:c r="C121" t="str">
        <x:v>E24</x:v>
      </x:c>
      <x:c r="D121" t="str">
        <x:v>Sample 120</x:v>
      </x:c>
      <x:c r="E121" t="n">
        <x:v>26.96</x:v>
      </x:c>
      <x:c r="F121"/>
      <x:c r="G121" t="n">
        <x:v>0</x:v>
      </x:c>
      <x:c r="H121" t="str"/>
    </x:row>
    <x:row r="122">
      <x:c r="A122" t="str">
        <x:v>True</x:v>
      </x:c>
      <x:c r="B122" t="str">
        <x:v>65280</x:v>
      </x:c>
      <x:c r="C122" t="str">
        <x:v>F1</x:v>
      </x:c>
      <x:c r="D122" t="str">
        <x:v>Sample 121</x:v>
      </x:c>
      <x:c r="E122"/>
      <x:c r="F122"/>
      <x:c r="G122" t="n">
        <x:v>0</x:v>
      </x:c>
      <x:c r="H122" t="str"/>
    </x:row>
    <x:row r="123">
      <x:c r="A123" t="str">
        <x:v>True</x:v>
      </x:c>
      <x:c r="B123" t="str">
        <x:v>65280</x:v>
      </x:c>
      <x:c r="C123" t="str">
        <x:v>F2</x:v>
      </x:c>
      <x:c r="D123" t="str">
        <x:v>Sample 122</x:v>
      </x:c>
      <x:c r="E123"/>
      <x:c r="F123"/>
      <x:c r="G123" t="n">
        <x:v>0</x:v>
      </x:c>
      <x:c r="H123" t="str"/>
    </x:row>
    <x:row r="124">
      <x:c r="A124" t="str">
        <x:v>True</x:v>
      </x:c>
      <x:c r="B124" t="str">
        <x:v>65280</x:v>
      </x:c>
      <x:c r="C124" t="str">
        <x:v>F3</x:v>
      </x:c>
      <x:c r="D124" t="str">
        <x:v>Sample 123</x:v>
      </x:c>
      <x:c r="E124"/>
      <x:c r="F124"/>
      <x:c r="G124" t="n">
        <x:v>0</x:v>
      </x:c>
      <x:c r="H124" t="str"/>
    </x:row>
    <x:row r="125">
      <x:c r="A125" t="str">
        <x:v>True</x:v>
      </x:c>
      <x:c r="B125" t="str">
        <x:v>65280</x:v>
      </x:c>
      <x:c r="C125" t="str">
        <x:v>F4</x:v>
      </x:c>
      <x:c r="D125" t="str">
        <x:v>Sample 124</x:v>
      </x:c>
      <x:c r="E125"/>
      <x:c r="F125"/>
      <x:c r="G125" t="n">
        <x:v>0</x:v>
      </x:c>
      <x:c r="H125" t="str"/>
    </x:row>
    <x:row r="126">
      <x:c r="A126" t="str">
        <x:v>True</x:v>
      </x:c>
      <x:c r="B126" t="str">
        <x:v>65280</x:v>
      </x:c>
      <x:c r="C126" t="str">
        <x:v>F5</x:v>
      </x:c>
      <x:c r="D126" t="str">
        <x:v>Sample 125</x:v>
      </x:c>
      <x:c r="E126"/>
      <x:c r="F126"/>
      <x:c r="G126" t="n">
        <x:v>0</x:v>
      </x:c>
      <x:c r="H126" t="str"/>
    </x:row>
    <x:row r="127">
      <x:c r="A127" t="str">
        <x:v>True</x:v>
      </x:c>
      <x:c r="B127" t="str">
        <x:v>65280</x:v>
      </x:c>
      <x:c r="C127" t="str">
        <x:v>F6</x:v>
      </x:c>
      <x:c r="D127" t="str">
        <x:v>Sample 126</x:v>
      </x:c>
      <x:c r="E127"/>
      <x:c r="F127"/>
      <x:c r="G127" t="n">
        <x:v>0</x:v>
      </x:c>
      <x:c r="H127" t="str"/>
    </x:row>
    <x:row r="128">
      <x:c r="A128" t="str">
        <x:v>True</x:v>
      </x:c>
      <x:c r="B128" t="str">
        <x:v>65280</x:v>
      </x:c>
      <x:c r="C128" t="str">
        <x:v>F7</x:v>
      </x:c>
      <x:c r="D128" t="str">
        <x:v>Sample 127</x:v>
      </x:c>
      <x:c r="E128"/>
      <x:c r="F128"/>
      <x:c r="G128" t="n">
        <x:v>0</x:v>
      </x:c>
      <x:c r="H128" t="str"/>
    </x:row>
    <x:row r="129">
      <x:c r="A129" t="str">
        <x:v>True</x:v>
      </x:c>
      <x:c r="B129" t="str">
        <x:v>65280</x:v>
      </x:c>
      <x:c r="C129" t="str">
        <x:v>F8</x:v>
      </x:c>
      <x:c r="D129" t="str">
        <x:v>Sample 128</x:v>
      </x:c>
      <x:c r="E129"/>
      <x:c r="F129"/>
      <x:c r="G129" t="n">
        <x:v>0</x:v>
      </x:c>
      <x:c r="H129" t="str"/>
    </x:row>
    <x:row r="130">
      <x:c r="A130" t="str">
        <x:v>True</x:v>
      </x:c>
      <x:c r="B130" t="str">
        <x:v>65280</x:v>
      </x:c>
      <x:c r="C130" t="str">
        <x:v>F9</x:v>
      </x:c>
      <x:c r="D130" t="str">
        <x:v>Sample 129</x:v>
      </x:c>
      <x:c r="E130"/>
      <x:c r="F130"/>
      <x:c r="G130" t="n">
        <x:v>0</x:v>
      </x:c>
      <x:c r="H130" t="str"/>
    </x:row>
    <x:row r="131">
      <x:c r="A131" t="str">
        <x:v>True</x:v>
      </x:c>
      <x:c r="B131" t="str">
        <x:v>65280</x:v>
      </x:c>
      <x:c r="C131" t="str">
        <x:v>F10</x:v>
      </x:c>
      <x:c r="D131" t="str">
        <x:v>Sample 130</x:v>
      </x:c>
      <x:c r="E131"/>
      <x:c r="F131"/>
      <x:c r="G131" t="n">
        <x:v>0</x:v>
      </x:c>
      <x:c r="H131" t="str"/>
    </x:row>
    <x:row r="132">
      <x:c r="A132" t="str">
        <x:v>True</x:v>
      </x:c>
      <x:c r="B132" t="str">
        <x:v>65280</x:v>
      </x:c>
      <x:c r="C132" t="str">
        <x:v>F11</x:v>
      </x:c>
      <x:c r="D132" t="str">
        <x:v>Sample 131</x:v>
      </x:c>
      <x:c r="E132"/>
      <x:c r="F132"/>
      <x:c r="G132" t="n">
        <x:v>0</x:v>
      </x:c>
      <x:c r="H132" t="str"/>
    </x:row>
    <x:row r="133">
      <x:c r="A133" t="str">
        <x:v>True</x:v>
      </x:c>
      <x:c r="B133" t="str">
        <x:v>65280</x:v>
      </x:c>
      <x:c r="C133" t="str">
        <x:v>F12</x:v>
      </x:c>
      <x:c r="D133" t="str">
        <x:v>Sample 132</x:v>
      </x:c>
      <x:c r="E133"/>
      <x:c r="F133"/>
      <x:c r="G133" t="n">
        <x:v>0</x:v>
      </x:c>
      <x:c r="H133" t="str"/>
    </x:row>
    <x:row r="134">
      <x:c r="A134" t="str">
        <x:v>True</x:v>
      </x:c>
      <x:c r="B134" t="str">
        <x:v>65280</x:v>
      </x:c>
      <x:c r="C134" t="str">
        <x:v>F13</x:v>
      </x:c>
      <x:c r="D134" t="str">
        <x:v>Sample 133</x:v>
      </x:c>
      <x:c r="E134"/>
      <x:c r="F134"/>
      <x:c r="G134" t="n">
        <x:v>0</x:v>
      </x:c>
      <x:c r="H134" t="str"/>
    </x:row>
    <x:row r="135">
      <x:c r="A135" t="str">
        <x:v>True</x:v>
      </x:c>
      <x:c r="B135" t="str">
        <x:v>65280</x:v>
      </x:c>
      <x:c r="C135" t="str">
        <x:v>F14</x:v>
      </x:c>
      <x:c r="D135" t="str">
        <x:v>Sample 134</x:v>
      </x:c>
      <x:c r="E135"/>
      <x:c r="F135"/>
      <x:c r="G135" t="n">
        <x:v>0</x:v>
      </x:c>
      <x:c r="H135" t="str"/>
    </x:row>
    <x:row r="136">
      <x:c r="A136" t="str">
        <x:v>True</x:v>
      </x:c>
      <x:c r="B136" t="str">
        <x:v>65280</x:v>
      </x:c>
      <x:c r="C136" t="str">
        <x:v>F15</x:v>
      </x:c>
      <x:c r="D136" t="str">
        <x:v>Sample 135</x:v>
      </x:c>
      <x:c r="E136"/>
      <x:c r="F136"/>
      <x:c r="G136" t="n">
        <x:v>0</x:v>
      </x:c>
      <x:c r="H136" t="str"/>
    </x:row>
    <x:row r="137">
      <x:c r="A137" t="str">
        <x:v>True</x:v>
      </x:c>
      <x:c r="B137" t="str">
        <x:v>65280</x:v>
      </x:c>
      <x:c r="C137" t="str">
        <x:v>F16</x:v>
      </x:c>
      <x:c r="D137" t="str">
        <x:v>Sample 136</x:v>
      </x:c>
      <x:c r="E137"/>
      <x:c r="F137"/>
      <x:c r="G137" t="n">
        <x:v>0</x:v>
      </x:c>
      <x:c r="H137" t="str"/>
    </x:row>
    <x:row r="138">
      <x:c r="A138" t="str">
        <x:v>True</x:v>
      </x:c>
      <x:c r="B138" t="str">
        <x:v>65280</x:v>
      </x:c>
      <x:c r="C138" t="str">
        <x:v>F17</x:v>
      </x:c>
      <x:c r="D138" t="str">
        <x:v>Sample 137</x:v>
      </x:c>
      <x:c r="E138"/>
      <x:c r="F138"/>
      <x:c r="G138" t="n">
        <x:v>0</x:v>
      </x:c>
      <x:c r="H138" t="str"/>
    </x:row>
    <x:row r="139">
      <x:c r="A139" t="str">
        <x:v>True</x:v>
      </x:c>
      <x:c r="B139" t="str">
        <x:v>65280</x:v>
      </x:c>
      <x:c r="C139" t="str">
        <x:v>F18</x:v>
      </x:c>
      <x:c r="D139" t="str">
        <x:v>Sample 138</x:v>
      </x:c>
      <x:c r="E139"/>
      <x:c r="F139"/>
      <x:c r="G139" t="n">
        <x:v>0</x:v>
      </x:c>
      <x:c r="H139" t="str"/>
    </x:row>
    <x:row r="140">
      <x:c r="A140" t="str">
        <x:v>True</x:v>
      </x:c>
      <x:c r="B140" t="str">
        <x:v>65280</x:v>
      </x:c>
      <x:c r="C140" t="str">
        <x:v>F19</x:v>
      </x:c>
      <x:c r="D140" t="str">
        <x:v>Sample 139</x:v>
      </x:c>
      <x:c r="E140"/>
      <x:c r="F140"/>
      <x:c r="G140" t="n">
        <x:v>0</x:v>
      </x:c>
      <x:c r="H140" t="str"/>
    </x:row>
    <x:row r="141">
      <x:c r="A141" t="str">
        <x:v>True</x:v>
      </x:c>
      <x:c r="B141" t="str">
        <x:v>65280</x:v>
      </x:c>
      <x:c r="C141" t="str">
        <x:v>F20</x:v>
      </x:c>
      <x:c r="D141" t="str">
        <x:v>Sample 140</x:v>
      </x:c>
      <x:c r="E141"/>
      <x:c r="F141"/>
      <x:c r="G141" t="n">
        <x:v>0</x:v>
      </x:c>
      <x:c r="H141" t="str"/>
    </x:row>
    <x:row r="142">
      <x:c r="A142" t="str">
        <x:v>True</x:v>
      </x:c>
      <x:c r="B142" t="str">
        <x:v>65280</x:v>
      </x:c>
      <x:c r="C142" t="str">
        <x:v>F21</x:v>
      </x:c>
      <x:c r="D142" t="str">
        <x:v>Sample 141</x:v>
      </x:c>
      <x:c r="E142"/>
      <x:c r="F142"/>
      <x:c r="G142" t="n">
        <x:v>0</x:v>
      </x:c>
      <x:c r="H142" t="str"/>
    </x:row>
    <x:row r="143">
      <x:c r="A143" t="str">
        <x:v>True</x:v>
      </x:c>
      <x:c r="B143" t="str">
        <x:v>65280</x:v>
      </x:c>
      <x:c r="C143" t="str">
        <x:v>F22</x:v>
      </x:c>
      <x:c r="D143" t="str">
        <x:v>Sample 142</x:v>
      </x:c>
      <x:c r="E143"/>
      <x:c r="F143"/>
      <x:c r="G143" t="n">
        <x:v>0</x:v>
      </x:c>
      <x:c r="H143" t="str"/>
    </x:row>
    <x:row r="144">
      <x:c r="A144" t="str">
        <x:v>True</x:v>
      </x:c>
      <x:c r="B144" t="str">
        <x:v>65280</x:v>
      </x:c>
      <x:c r="C144" t="str">
        <x:v>F23</x:v>
      </x:c>
      <x:c r="D144" t="str">
        <x:v>Sample 143</x:v>
      </x:c>
      <x:c r="E144"/>
      <x:c r="F144"/>
      <x:c r="G144" t="n">
        <x:v>0</x:v>
      </x:c>
      <x:c r="H144" t="str"/>
    </x:row>
    <x:row r="145">
      <x:c r="A145" t="str">
        <x:v>True</x:v>
      </x:c>
      <x:c r="B145" t="str">
        <x:v>65280</x:v>
      </x:c>
      <x:c r="C145" t="str">
        <x:v>F24</x:v>
      </x:c>
      <x:c r="D145" t="str">
        <x:v>Sample 144</x:v>
      </x:c>
      <x:c r="E145"/>
      <x:c r="F145"/>
      <x:c r="G145" t="n">
        <x:v>0</x:v>
      </x:c>
      <x:c r="H145" t="str"/>
    </x:row>
    <x:row r="146">
      <x:c r="A146" t="str">
        <x:v>True</x:v>
      </x:c>
      <x:c r="B146" t="str">
        <x:v>255</x:v>
      </x:c>
      <x:c r="C146" t="str">
        <x:v>G1</x:v>
      </x:c>
      <x:c r="D146" t="str">
        <x:v>Sample 145</x:v>
      </x:c>
      <x:c r="E146" t="n">
        <x:v>16.08</x:v>
      </x:c>
      <x:c r="F146"/>
      <x:c r="G146" t="n">
        <x:v>0</x:v>
      </x:c>
      <x:c r="H146" t="str"/>
    </x:row>
    <x:row r="147">
      <x:c r="A147" t="str">
        <x:v>True</x:v>
      </x:c>
      <x:c r="B147" t="str">
        <x:v>255</x:v>
      </x:c>
      <x:c r="C147" t="str">
        <x:v>G2</x:v>
      </x:c>
      <x:c r="D147" t="str">
        <x:v>Sample 146</x:v>
      </x:c>
      <x:c r="E147" t="n">
        <x:v>16.08</x:v>
      </x:c>
      <x:c r="F147"/>
      <x:c r="G147" t="n">
        <x:v>0</x:v>
      </x:c>
      <x:c r="H147" t="str"/>
    </x:row>
    <x:row r="148">
      <x:c r="A148" t="str">
        <x:v>True</x:v>
      </x:c>
      <x:c r="B148" t="str">
        <x:v>255</x:v>
      </x:c>
      <x:c r="C148" t="str">
        <x:v>G3</x:v>
      </x:c>
      <x:c r="D148" t="str">
        <x:v>Sample 147</x:v>
      </x:c>
      <x:c r="E148" t="n">
        <x:v>16.06</x:v>
      </x:c>
      <x:c r="F148"/>
      <x:c r="G148" t="n">
        <x:v>0</x:v>
      </x:c>
      <x:c r="H148" t="str"/>
    </x:row>
    <x:row r="149">
      <x:c r="A149" t="str">
        <x:v>True</x:v>
      </x:c>
      <x:c r="B149" t="str">
        <x:v>255</x:v>
      </x:c>
      <x:c r="C149" t="str">
        <x:v>G4</x:v>
      </x:c>
      <x:c r="D149" t="str">
        <x:v>Sample 148</x:v>
      </x:c>
      <x:c r="E149" t="n">
        <x:v>16.12</x:v>
      </x:c>
      <x:c r="F149"/>
      <x:c r="G149" t="n">
        <x:v>0</x:v>
      </x:c>
      <x:c r="H149" t="str"/>
    </x:row>
    <x:row r="150">
      <x:c r="A150" t="str">
        <x:v>True</x:v>
      </x:c>
      <x:c r="B150" t="str">
        <x:v>255</x:v>
      </x:c>
      <x:c r="C150" t="str">
        <x:v>G5</x:v>
      </x:c>
      <x:c r="D150" t="str">
        <x:v>Sample 149</x:v>
      </x:c>
      <x:c r="E150" t="n">
        <x:v>24.66</x:v>
      </x:c>
      <x:c r="F150"/>
      <x:c r="G150" t="n">
        <x:v>0</x:v>
      </x:c>
      <x:c r="H150" t="str"/>
    </x:row>
    <x:row r="151">
      <x:c r="A151" t="str">
        <x:v>True</x:v>
      </x:c>
      <x:c r="B151" t="str">
        <x:v>255</x:v>
      </x:c>
      <x:c r="C151" t="str">
        <x:v>G6</x:v>
      </x:c>
      <x:c r="D151" t="str">
        <x:v>Sample 150</x:v>
      </x:c>
      <x:c r="E151" t="n">
        <x:v>24.7</x:v>
      </x:c>
      <x:c r="F151"/>
      <x:c r="G151" t="n">
        <x:v>0</x:v>
      </x:c>
      <x:c r="H151" t="str"/>
    </x:row>
    <x:row r="152">
      <x:c r="A152" t="str">
        <x:v>True</x:v>
      </x:c>
      <x:c r="B152" t="str">
        <x:v>255</x:v>
      </x:c>
      <x:c r="C152" t="str">
        <x:v>G7</x:v>
      </x:c>
      <x:c r="D152" t="str">
        <x:v>Sample 151</x:v>
      </x:c>
      <x:c r="E152" t="n">
        <x:v>24.6</x:v>
      </x:c>
      <x:c r="F152"/>
      <x:c r="G152" t="n">
        <x:v>0</x:v>
      </x:c>
      <x:c r="H152" t="str"/>
    </x:row>
    <x:row r="153">
      <x:c r="A153" t="str">
        <x:v>True</x:v>
      </x:c>
      <x:c r="B153" t="str">
        <x:v>255</x:v>
      </x:c>
      <x:c r="C153" t="str">
        <x:v>G8</x:v>
      </x:c>
      <x:c r="D153" t="str">
        <x:v>Sample 152</x:v>
      </x:c>
      <x:c r="E153" t="n">
        <x:v>24.62</x:v>
      </x:c>
      <x:c r="F153"/>
      <x:c r="G153" t="n">
        <x:v>0</x:v>
      </x:c>
      <x:c r="H153" t="str"/>
    </x:row>
    <x:row r="154">
      <x:c r="A154" t="str">
        <x:v>True</x:v>
      </x:c>
      <x:c r="B154" t="str">
        <x:v>255</x:v>
      </x:c>
      <x:c r="C154" t="str">
        <x:v>G9</x:v>
      </x:c>
      <x:c r="D154" t="str">
        <x:v>Sample 153</x:v>
      </x:c>
      <x:c r="E154" t="n">
        <x:v>26.26</x:v>
      </x:c>
      <x:c r="F154"/>
      <x:c r="G154" t="n">
        <x:v>0</x:v>
      </x:c>
      <x:c r="H154" t="str"/>
    </x:row>
    <x:row r="155">
      <x:c r="A155" t="str">
        <x:v>True</x:v>
      </x:c>
      <x:c r="B155" t="str">
        <x:v>255</x:v>
      </x:c>
      <x:c r="C155" t="str">
        <x:v>G10</x:v>
      </x:c>
      <x:c r="D155" t="str">
        <x:v>Sample 154</x:v>
      </x:c>
      <x:c r="E155" t="n">
        <x:v>26.49</x:v>
      </x:c>
      <x:c r="F155"/>
      <x:c r="G155" t="n">
        <x:v>0</x:v>
      </x:c>
      <x:c r="H155" t="str"/>
    </x:row>
    <x:row r="156">
      <x:c r="A156" t="str">
        <x:v>True</x:v>
      </x:c>
      <x:c r="B156" t="str">
        <x:v>255</x:v>
      </x:c>
      <x:c r="C156" t="str">
        <x:v>G11</x:v>
      </x:c>
      <x:c r="D156" t="str">
        <x:v>Sample 155</x:v>
      </x:c>
      <x:c r="E156" t="n">
        <x:v>26.44</x:v>
      </x:c>
      <x:c r="F156"/>
      <x:c r="G156" t="n">
        <x:v>0</x:v>
      </x:c>
      <x:c r="H156" t="str"/>
    </x:row>
    <x:row r="157">
      <x:c r="A157" t="str">
        <x:v>True</x:v>
      </x:c>
      <x:c r="B157" t="str">
        <x:v>255</x:v>
      </x:c>
      <x:c r="C157" t="str">
        <x:v>G12</x:v>
      </x:c>
      <x:c r="D157" t="str">
        <x:v>Sample 156</x:v>
      </x:c>
      <x:c r="E157" t="n">
        <x:v>26.48</x:v>
      </x:c>
      <x:c r="F157"/>
      <x:c r="G157" t="n">
        <x:v>0</x:v>
      </x:c>
      <x:c r="H157" t="str"/>
    </x:row>
    <x:row r="158">
      <x:c r="A158" t="str">
        <x:v>True</x:v>
      </x:c>
      <x:c r="B158" t="str">
        <x:v>255</x:v>
      </x:c>
      <x:c r="C158" t="str">
        <x:v>G13</x:v>
      </x:c>
      <x:c r="D158" t="str">
        <x:v>Sample 157</x:v>
      </x:c>
      <x:c r="E158" t="n">
        <x:v>25.98</x:v>
      </x:c>
      <x:c r="F158"/>
      <x:c r="G158" t="n">
        <x:v>0</x:v>
      </x:c>
      <x:c r="H158" t="str"/>
    </x:row>
    <x:row r="159">
      <x:c r="A159" t="str">
        <x:v>True</x:v>
      </x:c>
      <x:c r="B159" t="str">
        <x:v>255</x:v>
      </x:c>
      <x:c r="C159" t="str">
        <x:v>G14</x:v>
      </x:c>
      <x:c r="D159" t="str">
        <x:v>Sample 158</x:v>
      </x:c>
      <x:c r="E159" t="n">
        <x:v>27.1</x:v>
      </x:c>
      <x:c r="F159"/>
      <x:c r="G159" t="n">
        <x:v>0</x:v>
      </x:c>
      <x:c r="H159" t="str"/>
    </x:row>
    <x:row r="160">
      <x:c r="A160" t="str">
        <x:v>True</x:v>
      </x:c>
      <x:c r="B160" t="str">
        <x:v>255</x:v>
      </x:c>
      <x:c r="C160" t="str">
        <x:v>G15</x:v>
      </x:c>
      <x:c r="D160" t="str">
        <x:v>Sample 159</x:v>
      </x:c>
      <x:c r="E160" t="n">
        <x:v>26.04</x:v>
      </x:c>
      <x:c r="F160"/>
      <x:c r="G160" t="n">
        <x:v>0</x:v>
      </x:c>
      <x:c r="H160" t="str"/>
    </x:row>
    <x:row r="161">
      <x:c r="A161" t="str">
        <x:v>True</x:v>
      </x:c>
      <x:c r="B161" t="str">
        <x:v>255</x:v>
      </x:c>
      <x:c r="C161" t="str">
        <x:v>G16</x:v>
      </x:c>
      <x:c r="D161" t="str">
        <x:v>Sample 160</x:v>
      </x:c>
      <x:c r="E161" t="n">
        <x:v>26.13</x:v>
      </x:c>
      <x:c r="F161"/>
      <x:c r="G161" t="n">
        <x:v>0</x:v>
      </x:c>
      <x:c r="H161" t="str"/>
    </x:row>
    <x:row r="162">
      <x:c r="A162" t="str">
        <x:v>True</x:v>
      </x:c>
      <x:c r="B162" t="str">
        <x:v>255</x:v>
      </x:c>
      <x:c r="C162" t="str">
        <x:v>G17</x:v>
      </x:c>
      <x:c r="D162" t="str">
        <x:v>Sample 161</x:v>
      </x:c>
      <x:c r="E162" t="n">
        <x:v>27.57</x:v>
      </x:c>
      <x:c r="F162"/>
      <x:c r="G162" t="n">
        <x:v>0</x:v>
      </x:c>
      <x:c r="H162" t="str"/>
    </x:row>
    <x:row r="163">
      <x:c r="A163" t="str">
        <x:v>True</x:v>
      </x:c>
      <x:c r="B163" t="str">
        <x:v>255</x:v>
      </x:c>
      <x:c r="C163" t="str">
        <x:v>G18</x:v>
      </x:c>
      <x:c r="D163" t="str">
        <x:v>Sample 162</x:v>
      </x:c>
      <x:c r="E163" t="n">
        <x:v>27.25</x:v>
      </x:c>
      <x:c r="F163"/>
      <x:c r="G163" t="n">
        <x:v>0</x:v>
      </x:c>
      <x:c r="H163" t="str"/>
    </x:row>
    <x:row r="164">
      <x:c r="A164" t="str">
        <x:v>True</x:v>
      </x:c>
      <x:c r="B164" t="str">
        <x:v>255</x:v>
      </x:c>
      <x:c r="C164" t="str">
        <x:v>G19</x:v>
      </x:c>
      <x:c r="D164" t="str">
        <x:v>Sample 163</x:v>
      </x:c>
      <x:c r="E164" t="n">
        <x:v>27.55</x:v>
      </x:c>
      <x:c r="F164"/>
      <x:c r="G164" t="n">
        <x:v>0</x:v>
      </x:c>
      <x:c r="H164" t="str"/>
    </x:row>
    <x:row r="165">
      <x:c r="A165" t="str">
        <x:v>True</x:v>
      </x:c>
      <x:c r="B165" t="str">
        <x:v>255</x:v>
      </x:c>
      <x:c r="C165" t="str">
        <x:v>G20</x:v>
      </x:c>
      <x:c r="D165" t="str">
        <x:v>Sample 164</x:v>
      </x:c>
      <x:c r="E165" t="n">
        <x:v>27.45</x:v>
      </x:c>
      <x:c r="F165"/>
      <x:c r="G165" t="n">
        <x:v>0</x:v>
      </x:c>
      <x:c r="H165" t="str"/>
    </x:row>
    <x:row r="166">
      <x:c r="A166" t="str">
        <x:v>True</x:v>
      </x:c>
      <x:c r="B166" t="str">
        <x:v>255</x:v>
      </x:c>
      <x:c r="C166" t="str">
        <x:v>G21</x:v>
      </x:c>
      <x:c r="D166" t="str">
        <x:v>Sample 165</x:v>
      </x:c>
      <x:c r="E166" t="n">
        <x:v>26.47</x:v>
      </x:c>
      <x:c r="F166"/>
      <x:c r="G166" t="n">
        <x:v>0</x:v>
      </x:c>
      <x:c r="H166" t="str"/>
    </x:row>
    <x:row r="167">
      <x:c r="A167" t="str">
        <x:v>True</x:v>
      </x:c>
      <x:c r="B167" t="str">
        <x:v>255</x:v>
      </x:c>
      <x:c r="C167" t="str">
        <x:v>G22</x:v>
      </x:c>
      <x:c r="D167" t="str">
        <x:v>Sample 166</x:v>
      </x:c>
      <x:c r="E167" t="n">
        <x:v>26.46</x:v>
      </x:c>
      <x:c r="F167"/>
      <x:c r="G167" t="n">
        <x:v>0</x:v>
      </x:c>
      <x:c r="H167" t="str"/>
    </x:row>
    <x:row r="168">
      <x:c r="A168" t="str">
        <x:v>True</x:v>
      </x:c>
      <x:c r="B168" t="str">
        <x:v>255</x:v>
      </x:c>
      <x:c r="C168" t="str">
        <x:v>G23</x:v>
      </x:c>
      <x:c r="D168" t="str">
        <x:v>Sample 167</x:v>
      </x:c>
      <x:c r="E168" t="n">
        <x:v>26.65</x:v>
      </x:c>
      <x:c r="F168"/>
      <x:c r="G168" t="n">
        <x:v>0</x:v>
      </x:c>
      <x:c r="H168" t="str"/>
    </x:row>
    <x:row r="169">
      <x:c r="A169" t="str">
        <x:v>True</x:v>
      </x:c>
      <x:c r="B169" t="str">
        <x:v>255</x:v>
      </x:c>
      <x:c r="C169" t="str">
        <x:v>G24</x:v>
      </x:c>
      <x:c r="D169" t="str">
        <x:v>Sample 168</x:v>
      </x:c>
      <x:c r="E169" t="n">
        <x:v>26.69</x:v>
      </x:c>
      <x:c r="F169"/>
      <x:c r="G169" t="n">
        <x:v>0</x:v>
      </x:c>
      <x:c r="H169" t="str"/>
    </x:row>
    <x:row r="170">
      <x:c r="A170" t="str">
        <x:v>True</x:v>
      </x:c>
      <x:c r="B170" t="str">
        <x:v>65280</x:v>
      </x:c>
      <x:c r="C170" t="str">
        <x:v>H1</x:v>
      </x:c>
      <x:c r="D170" t="str">
        <x:v>Sample 169</x:v>
      </x:c>
      <x:c r="E170"/>
      <x:c r="F170"/>
      <x:c r="G170" t="n">
        <x:v>0</x:v>
      </x:c>
      <x:c r="H170" t="str"/>
    </x:row>
    <x:row r="171">
      <x:c r="A171" t="str">
        <x:v>True</x:v>
      </x:c>
      <x:c r="B171" t="str">
        <x:v>65280</x:v>
      </x:c>
      <x:c r="C171" t="str">
        <x:v>H2</x:v>
      </x:c>
      <x:c r="D171" t="str">
        <x:v>Sample 170</x:v>
      </x:c>
      <x:c r="E171"/>
      <x:c r="F171"/>
      <x:c r="G171" t="n">
        <x:v>0</x:v>
      </x:c>
      <x:c r="H171" t="str"/>
    </x:row>
    <x:row r="172">
      <x:c r="A172" t="str">
        <x:v>True</x:v>
      </x:c>
      <x:c r="B172" t="str">
        <x:v>65280</x:v>
      </x:c>
      <x:c r="C172" t="str">
        <x:v>H3</x:v>
      </x:c>
      <x:c r="D172" t="str">
        <x:v>Sample 171</x:v>
      </x:c>
      <x:c r="E172"/>
      <x:c r="F172"/>
      <x:c r="G172" t="n">
        <x:v>0</x:v>
      </x:c>
      <x:c r="H172" t="str"/>
    </x:row>
    <x:row r="173">
      <x:c r="A173" t="str">
        <x:v>True</x:v>
      </x:c>
      <x:c r="B173" t="str">
        <x:v>65280</x:v>
      </x:c>
      <x:c r="C173" t="str">
        <x:v>H4</x:v>
      </x:c>
      <x:c r="D173" t="str">
        <x:v>Sample 172</x:v>
      </x:c>
      <x:c r="E173"/>
      <x:c r="F173"/>
      <x:c r="G173" t="n">
        <x:v>0</x:v>
      </x:c>
      <x:c r="H173" t="str"/>
    </x:row>
    <x:row r="174">
      <x:c r="A174" t="str">
        <x:v>True</x:v>
      </x:c>
      <x:c r="B174" t="str">
        <x:v>65280</x:v>
      </x:c>
      <x:c r="C174" t="str">
        <x:v>H5</x:v>
      </x:c>
      <x:c r="D174" t="str">
        <x:v>Sample 173</x:v>
      </x:c>
      <x:c r="E174"/>
      <x:c r="F174"/>
      <x:c r="G174" t="n">
        <x:v>0</x:v>
      </x:c>
      <x:c r="H174" t="str"/>
    </x:row>
    <x:row r="175">
      <x:c r="A175" t="str">
        <x:v>True</x:v>
      </x:c>
      <x:c r="B175" t="str">
        <x:v>65280</x:v>
      </x:c>
      <x:c r="C175" t="str">
        <x:v>H6</x:v>
      </x:c>
      <x:c r="D175" t="str">
        <x:v>Sample 174</x:v>
      </x:c>
      <x:c r="E175"/>
      <x:c r="F175"/>
      <x:c r="G175" t="n">
        <x:v>0</x:v>
      </x:c>
      <x:c r="H175" t="str"/>
    </x:row>
    <x:row r="176">
      <x:c r="A176" t="str">
        <x:v>True</x:v>
      </x:c>
      <x:c r="B176" t="str">
        <x:v>65280</x:v>
      </x:c>
      <x:c r="C176" t="str">
        <x:v>H7</x:v>
      </x:c>
      <x:c r="D176" t="str">
        <x:v>Sample 175</x:v>
      </x:c>
      <x:c r="E176"/>
      <x:c r="F176"/>
      <x:c r="G176" t="n">
        <x:v>0</x:v>
      </x:c>
      <x:c r="H176" t="str"/>
    </x:row>
    <x:row r="177">
      <x:c r="A177" t="str">
        <x:v>True</x:v>
      </x:c>
      <x:c r="B177" t="str">
        <x:v>65280</x:v>
      </x:c>
      <x:c r="C177" t="str">
        <x:v>H8</x:v>
      </x:c>
      <x:c r="D177" t="str">
        <x:v>Sample 176</x:v>
      </x:c>
      <x:c r="E177"/>
      <x:c r="F177"/>
      <x:c r="G177" t="n">
        <x:v>0</x:v>
      </x:c>
      <x:c r="H177" t="str"/>
    </x:row>
    <x:row r="178">
      <x:c r="A178" t="str">
        <x:v>True</x:v>
      </x:c>
      <x:c r="B178" t="str">
        <x:v>65280</x:v>
      </x:c>
      <x:c r="C178" t="str">
        <x:v>H9</x:v>
      </x:c>
      <x:c r="D178" t="str">
        <x:v>Sample 177</x:v>
      </x:c>
      <x:c r="E178"/>
      <x:c r="F178"/>
      <x:c r="G178" t="n">
        <x:v>0</x:v>
      </x:c>
      <x:c r="H178" t="str"/>
    </x:row>
    <x:row r="179">
      <x:c r="A179" t="str">
        <x:v>True</x:v>
      </x:c>
      <x:c r="B179" t="str">
        <x:v>65280</x:v>
      </x:c>
      <x:c r="C179" t="str">
        <x:v>H10</x:v>
      </x:c>
      <x:c r="D179" t="str">
        <x:v>Sample 178</x:v>
      </x:c>
      <x:c r="E179"/>
      <x:c r="F179"/>
      <x:c r="G179" t="n">
        <x:v>0</x:v>
      </x:c>
      <x:c r="H179" t="str"/>
    </x:row>
    <x:row r="180">
      <x:c r="A180" t="str">
        <x:v>True</x:v>
      </x:c>
      <x:c r="B180" t="str">
        <x:v>65280</x:v>
      </x:c>
      <x:c r="C180" t="str">
        <x:v>H11</x:v>
      </x:c>
      <x:c r="D180" t="str">
        <x:v>Sample 179</x:v>
      </x:c>
      <x:c r="E180"/>
      <x:c r="F180"/>
      <x:c r="G180" t="n">
        <x:v>0</x:v>
      </x:c>
      <x:c r="H180" t="str"/>
    </x:row>
    <x:row r="181">
      <x:c r="A181" t="str">
        <x:v>True</x:v>
      </x:c>
      <x:c r="B181" t="str">
        <x:v>65280</x:v>
      </x:c>
      <x:c r="C181" t="str">
        <x:v>H12</x:v>
      </x:c>
      <x:c r="D181" t="str">
        <x:v>Sample 180</x:v>
      </x:c>
      <x:c r="E181"/>
      <x:c r="F181"/>
      <x:c r="G181" t="n">
        <x:v>0</x:v>
      </x:c>
      <x:c r="H181" t="str"/>
    </x:row>
    <x:row r="182">
      <x:c r="A182" t="str">
        <x:v>True</x:v>
      </x:c>
      <x:c r="B182" t="str">
        <x:v>65280</x:v>
      </x:c>
      <x:c r="C182" t="str">
        <x:v>H13</x:v>
      </x:c>
      <x:c r="D182" t="str">
        <x:v>Sample 181</x:v>
      </x:c>
      <x:c r="E182"/>
      <x:c r="F182"/>
      <x:c r="G182" t="n">
        <x:v>0</x:v>
      </x:c>
      <x:c r="H182" t="str"/>
    </x:row>
    <x:row r="183">
      <x:c r="A183" t="str">
        <x:v>True</x:v>
      </x:c>
      <x:c r="B183" t="str">
        <x:v>65280</x:v>
      </x:c>
      <x:c r="C183" t="str">
        <x:v>H14</x:v>
      </x:c>
      <x:c r="D183" t="str">
        <x:v>Sample 182</x:v>
      </x:c>
      <x:c r="E183"/>
      <x:c r="F183"/>
      <x:c r="G183" t="n">
        <x:v>0</x:v>
      </x:c>
      <x:c r="H183" t="str"/>
    </x:row>
    <x:row r="184">
      <x:c r="A184" t="str">
        <x:v>True</x:v>
      </x:c>
      <x:c r="B184" t="str">
        <x:v>65280</x:v>
      </x:c>
      <x:c r="C184" t="str">
        <x:v>H15</x:v>
      </x:c>
      <x:c r="D184" t="str">
        <x:v>Sample 183</x:v>
      </x:c>
      <x:c r="E184"/>
      <x:c r="F184"/>
      <x:c r="G184" t="n">
        <x:v>0</x:v>
      </x:c>
      <x:c r="H184" t="str"/>
    </x:row>
    <x:row r="185">
      <x:c r="A185" t="str">
        <x:v>True</x:v>
      </x:c>
      <x:c r="B185" t="str">
        <x:v>65280</x:v>
      </x:c>
      <x:c r="C185" t="str">
        <x:v>H16</x:v>
      </x:c>
      <x:c r="D185" t="str">
        <x:v>Sample 184</x:v>
      </x:c>
      <x:c r="E185"/>
      <x:c r="F185"/>
      <x:c r="G185" t="n">
        <x:v>0</x:v>
      </x:c>
      <x:c r="H185" t="str"/>
    </x:row>
    <x:row r="186">
      <x:c r="A186" t="str">
        <x:v>True</x:v>
      </x:c>
      <x:c r="B186" t="str">
        <x:v>65280</x:v>
      </x:c>
      <x:c r="C186" t="str">
        <x:v>H17</x:v>
      </x:c>
      <x:c r="D186" t="str">
        <x:v>Sample 185</x:v>
      </x:c>
      <x:c r="E186"/>
      <x:c r="F186"/>
      <x:c r="G186" t="n">
        <x:v>0</x:v>
      </x:c>
      <x:c r="H186" t="str"/>
    </x:row>
    <x:row r="187">
      <x:c r="A187" t="str">
        <x:v>True</x:v>
      </x:c>
      <x:c r="B187" t="str">
        <x:v>65280</x:v>
      </x:c>
      <x:c r="C187" t="str">
        <x:v>H18</x:v>
      </x:c>
      <x:c r="D187" t="str">
        <x:v>Sample 186</x:v>
      </x:c>
      <x:c r="E187"/>
      <x:c r="F187"/>
      <x:c r="G187" t="n">
        <x:v>0</x:v>
      </x:c>
      <x:c r="H187" t="str"/>
    </x:row>
    <x:row r="188">
      <x:c r="A188" t="str">
        <x:v>True</x:v>
      </x:c>
      <x:c r="B188" t="str">
        <x:v>65280</x:v>
      </x:c>
      <x:c r="C188" t="str">
        <x:v>H19</x:v>
      </x:c>
      <x:c r="D188" t="str">
        <x:v>Sample 187</x:v>
      </x:c>
      <x:c r="E188"/>
      <x:c r="F188"/>
      <x:c r="G188" t="n">
        <x:v>0</x:v>
      </x:c>
      <x:c r="H188" t="str"/>
    </x:row>
    <x:row r="189">
      <x:c r="A189" t="str">
        <x:v>True</x:v>
      </x:c>
      <x:c r="B189" t="str">
        <x:v>65280</x:v>
      </x:c>
      <x:c r="C189" t="str">
        <x:v>H20</x:v>
      </x:c>
      <x:c r="D189" t="str">
        <x:v>Sample 188</x:v>
      </x:c>
      <x:c r="E189"/>
      <x:c r="F189"/>
      <x:c r="G189" t="n">
        <x:v>0</x:v>
      </x:c>
      <x:c r="H189" t="str"/>
    </x:row>
    <x:row r="190">
      <x:c r="A190" t="str">
        <x:v>True</x:v>
      </x:c>
      <x:c r="B190" t="str">
        <x:v>65280</x:v>
      </x:c>
      <x:c r="C190" t="str">
        <x:v>H21</x:v>
      </x:c>
      <x:c r="D190" t="str">
        <x:v>Sample 189</x:v>
      </x:c>
      <x:c r="E190"/>
      <x:c r="F190"/>
      <x:c r="G190" t="n">
        <x:v>0</x:v>
      </x:c>
      <x:c r="H190" t="str"/>
    </x:row>
    <x:row r="191">
      <x:c r="A191" t="str">
        <x:v>True</x:v>
      </x:c>
      <x:c r="B191" t="str">
        <x:v>65280</x:v>
      </x:c>
      <x:c r="C191" t="str">
        <x:v>H22</x:v>
      </x:c>
      <x:c r="D191" t="str">
        <x:v>Sample 190</x:v>
      </x:c>
      <x:c r="E191"/>
      <x:c r="F191"/>
      <x:c r="G191" t="n">
        <x:v>0</x:v>
      </x:c>
      <x:c r="H191" t="str"/>
    </x:row>
    <x:row r="192">
      <x:c r="A192" t="str">
        <x:v>True</x:v>
      </x:c>
      <x:c r="B192" t="str">
        <x:v>65280</x:v>
      </x:c>
      <x:c r="C192" t="str">
        <x:v>H23</x:v>
      </x:c>
      <x:c r="D192" t="str">
        <x:v>Sample 191</x:v>
      </x:c>
      <x:c r="E192"/>
      <x:c r="F192"/>
      <x:c r="G192" t="n">
        <x:v>0</x:v>
      </x:c>
      <x:c r="H192" t="str"/>
    </x:row>
    <x:row r="193">
      <x:c r="A193" t="str">
        <x:v>True</x:v>
      </x:c>
      <x:c r="B193" t="str">
        <x:v>65280</x:v>
      </x:c>
      <x:c r="C193" t="str">
        <x:v>H24</x:v>
      </x:c>
      <x:c r="D193" t="str">
        <x:v>Sample 192</x:v>
      </x:c>
      <x:c r="E193"/>
      <x:c r="F193"/>
      <x:c r="G193" t="n">
        <x:v>0</x:v>
      </x:c>
      <x:c r="H193" t="str"/>
    </x:row>
    <x:row r="194">
      <x:c r="A194" t="str">
        <x:v>True</x:v>
      </x:c>
      <x:c r="B194" t="str">
        <x:v>255</x:v>
      </x:c>
      <x:c r="C194" t="str">
        <x:v>I1</x:v>
      </x:c>
      <x:c r="D194" t="str">
        <x:v>Sample 193</x:v>
      </x:c>
      <x:c r="E194" t="n">
        <x:v>15.95</x:v>
      </x:c>
      <x:c r="F194"/>
      <x:c r="G194" t="n">
        <x:v>0</x:v>
      </x:c>
      <x:c r="H194" t="str"/>
    </x:row>
    <x:row r="195">
      <x:c r="A195" t="str">
        <x:v>True</x:v>
      </x:c>
      <x:c r="B195" t="str">
        <x:v>255</x:v>
      </x:c>
      <x:c r="C195" t="str">
        <x:v>I2</x:v>
      </x:c>
      <x:c r="D195" t="str">
        <x:v>Sample 194</x:v>
      </x:c>
      <x:c r="E195" t="n">
        <x:v>15.89</x:v>
      </x:c>
      <x:c r="F195"/>
      <x:c r="G195" t="n">
        <x:v>0</x:v>
      </x:c>
      <x:c r="H195" t="str"/>
    </x:row>
    <x:row r="196">
      <x:c r="A196" t="str">
        <x:v>True</x:v>
      </x:c>
      <x:c r="B196" t="str">
        <x:v>255</x:v>
      </x:c>
      <x:c r="C196" t="str">
        <x:v>I3</x:v>
      </x:c>
      <x:c r="D196" t="str">
        <x:v>Sample 195</x:v>
      </x:c>
      <x:c r="E196" t="n">
        <x:v>16.01</x:v>
      </x:c>
      <x:c r="F196"/>
      <x:c r="G196" t="n">
        <x:v>0</x:v>
      </x:c>
      <x:c r="H196" t="str"/>
    </x:row>
    <x:row r="197">
      <x:c r="A197" t="str">
        <x:v>True</x:v>
      </x:c>
      <x:c r="B197" t="str">
        <x:v>255</x:v>
      </x:c>
      <x:c r="C197" t="str">
        <x:v>I4</x:v>
      </x:c>
      <x:c r="D197" t="str">
        <x:v>Sample 196</x:v>
      </x:c>
      <x:c r="E197" t="n">
        <x:v>15.98</x:v>
      </x:c>
      <x:c r="F197"/>
      <x:c r="G197" t="n">
        <x:v>0</x:v>
      </x:c>
      <x:c r="H197" t="str"/>
    </x:row>
    <x:row r="198">
      <x:c r="A198" t="str">
        <x:v>True</x:v>
      </x:c>
      <x:c r="B198" t="str">
        <x:v>255</x:v>
      </x:c>
      <x:c r="C198" t="str">
        <x:v>I5</x:v>
      </x:c>
      <x:c r="D198" t="str">
        <x:v>Sample 197</x:v>
      </x:c>
      <x:c r="E198" t="n">
        <x:v>24.83</x:v>
      </x:c>
      <x:c r="F198"/>
      <x:c r="G198" t="n">
        <x:v>0</x:v>
      </x:c>
      <x:c r="H198" t="str"/>
    </x:row>
    <x:row r="199">
      <x:c r="A199" t="str">
        <x:v>True</x:v>
      </x:c>
      <x:c r="B199" t="str">
        <x:v>255</x:v>
      </x:c>
      <x:c r="C199" t="str">
        <x:v>I6</x:v>
      </x:c>
      <x:c r="D199" t="str">
        <x:v>Sample 198</x:v>
      </x:c>
      <x:c r="E199" t="n">
        <x:v>24.85</x:v>
      </x:c>
      <x:c r="F199"/>
      <x:c r="G199" t="n">
        <x:v>0</x:v>
      </x:c>
      <x:c r="H199" t="str"/>
    </x:row>
    <x:row r="200">
      <x:c r="A200" t="str">
        <x:v>True</x:v>
      </x:c>
      <x:c r="B200" t="str">
        <x:v>255</x:v>
      </x:c>
      <x:c r="C200" t="str">
        <x:v>I7</x:v>
      </x:c>
      <x:c r="D200" t="str">
        <x:v>Sample 199</x:v>
      </x:c>
      <x:c r="E200" t="n">
        <x:v>24.88</x:v>
      </x:c>
      <x:c r="F200"/>
      <x:c r="G200" t="n">
        <x:v>0</x:v>
      </x:c>
      <x:c r="H200" t="str"/>
    </x:row>
    <x:row r="201">
      <x:c r="A201" t="str">
        <x:v>True</x:v>
      </x:c>
      <x:c r="B201" t="str">
        <x:v>255</x:v>
      </x:c>
      <x:c r="C201" t="str">
        <x:v>I8</x:v>
      </x:c>
      <x:c r="D201" t="str">
        <x:v>Sample 200</x:v>
      </x:c>
      <x:c r="E201" t="n">
        <x:v>24.9</x:v>
      </x:c>
      <x:c r="F201"/>
      <x:c r="G201" t="n">
        <x:v>0</x:v>
      </x:c>
      <x:c r="H201" t="str"/>
    </x:row>
    <x:row r="202">
      <x:c r="A202" t="str">
        <x:v>True</x:v>
      </x:c>
      <x:c r="B202" t="str">
        <x:v>255</x:v>
      </x:c>
      <x:c r="C202" t="str">
        <x:v>I9</x:v>
      </x:c>
      <x:c r="D202" t="str">
        <x:v>Sample 201</x:v>
      </x:c>
      <x:c r="E202" t="n">
        <x:v>26.95</x:v>
      </x:c>
      <x:c r="F202"/>
      <x:c r="G202" t="n">
        <x:v>0</x:v>
      </x:c>
      <x:c r="H202" t="str"/>
    </x:row>
    <x:row r="203">
      <x:c r="A203" t="str">
        <x:v>True</x:v>
      </x:c>
      <x:c r="B203" t="str">
        <x:v>255</x:v>
      </x:c>
      <x:c r="C203" t="str">
        <x:v>I10</x:v>
      </x:c>
      <x:c r="D203" t="str">
        <x:v>Sample 202</x:v>
      </x:c>
      <x:c r="E203" t="n">
        <x:v>27.06</x:v>
      </x:c>
      <x:c r="F203"/>
      <x:c r="G203" t="n">
        <x:v>0</x:v>
      </x:c>
      <x:c r="H203" t="str"/>
    </x:row>
    <x:row r="204">
      <x:c r="A204" t="str">
        <x:v>True</x:v>
      </x:c>
      <x:c r="B204" t="str">
        <x:v>255</x:v>
      </x:c>
      <x:c r="C204" t="str">
        <x:v>I11</x:v>
      </x:c>
      <x:c r="D204" t="str">
        <x:v>Sample 203</x:v>
      </x:c>
      <x:c r="E204" t="n">
        <x:v>27.27</x:v>
      </x:c>
      <x:c r="F204"/>
      <x:c r="G204" t="n">
        <x:v>0</x:v>
      </x:c>
      <x:c r="H204" t="str"/>
    </x:row>
    <x:row r="205">
      <x:c r="A205" t="str">
        <x:v>True</x:v>
      </x:c>
      <x:c r="B205" t="str">
        <x:v>255</x:v>
      </x:c>
      <x:c r="C205" t="str">
        <x:v>I12</x:v>
      </x:c>
      <x:c r="D205" t="str">
        <x:v>Sample 204</x:v>
      </x:c>
      <x:c r="E205" t="n">
        <x:v>27.09</x:v>
      </x:c>
      <x:c r="F205"/>
      <x:c r="G205" t="n">
        <x:v>0</x:v>
      </x:c>
      <x:c r="H205" t="str"/>
    </x:row>
    <x:row r="206">
      <x:c r="A206" t="str">
        <x:v>True</x:v>
      </x:c>
      <x:c r="B206" t="str">
        <x:v>255</x:v>
      </x:c>
      <x:c r="C206" t="str">
        <x:v>I13</x:v>
      </x:c>
      <x:c r="D206" t="str">
        <x:v>Sample 205</x:v>
      </x:c>
      <x:c r="E206" t="n">
        <x:v>26.97</x:v>
      </x:c>
      <x:c r="F206"/>
      <x:c r="G206" t="n">
        <x:v>0</x:v>
      </x:c>
      <x:c r="H206" t="str"/>
    </x:row>
    <x:row r="207">
      <x:c r="A207" t="str">
        <x:v>True</x:v>
      </x:c>
      <x:c r="B207" t="str">
        <x:v>255</x:v>
      </x:c>
      <x:c r="C207" t="str">
        <x:v>I14</x:v>
      </x:c>
      <x:c r="D207" t="str">
        <x:v>Sample 206</x:v>
      </x:c>
      <x:c r="E207" t="n">
        <x:v>27.23</x:v>
      </x:c>
      <x:c r="F207"/>
      <x:c r="G207" t="n">
        <x:v>0</x:v>
      </x:c>
      <x:c r="H207" t="str"/>
    </x:row>
    <x:row r="208">
      <x:c r="A208" t="str">
        <x:v>True</x:v>
      </x:c>
      <x:c r="B208" t="str">
        <x:v>255</x:v>
      </x:c>
      <x:c r="C208" t="str">
        <x:v>I15</x:v>
      </x:c>
      <x:c r="D208" t="str">
        <x:v>Sample 207</x:v>
      </x:c>
      <x:c r="E208" t="n">
        <x:v>26.95</x:v>
      </x:c>
      <x:c r="F208"/>
      <x:c r="G208" t="n">
        <x:v>0</x:v>
      </x:c>
      <x:c r="H208" t="str"/>
    </x:row>
    <x:row r="209">
      <x:c r="A209" t="str">
        <x:v>True</x:v>
      </x:c>
      <x:c r="B209" t="str">
        <x:v>255</x:v>
      </x:c>
      <x:c r="C209" t="str">
        <x:v>I16</x:v>
      </x:c>
      <x:c r="D209" t="str">
        <x:v>Sample 208</x:v>
      </x:c>
      <x:c r="E209" t="n">
        <x:v>26.92</x:v>
      </x:c>
      <x:c r="F209"/>
      <x:c r="G209" t="n">
        <x:v>0</x:v>
      </x:c>
      <x:c r="H209" t="str"/>
    </x:row>
    <x:row r="210">
      <x:c r="A210" t="str">
        <x:v>True</x:v>
      </x:c>
      <x:c r="B210" t="str">
        <x:v>255</x:v>
      </x:c>
      <x:c r="C210" t="str">
        <x:v>I17</x:v>
      </x:c>
      <x:c r="D210" t="str">
        <x:v>Sample 209</x:v>
      </x:c>
      <x:c r="E210" t="n">
        <x:v>27.47</x:v>
      </x:c>
      <x:c r="F210"/>
      <x:c r="G210" t="n">
        <x:v>0</x:v>
      </x:c>
      <x:c r="H210" t="str"/>
    </x:row>
    <x:row r="211">
      <x:c r="A211" t="str">
        <x:v>True</x:v>
      </x:c>
      <x:c r="B211" t="str">
        <x:v>255</x:v>
      </x:c>
      <x:c r="C211" t="str">
        <x:v>I18</x:v>
      </x:c>
      <x:c r="D211" t="str">
        <x:v>Sample 210</x:v>
      </x:c>
      <x:c r="E211" t="n">
        <x:v>27.16</x:v>
      </x:c>
      <x:c r="F211"/>
      <x:c r="G211" t="n">
        <x:v>0</x:v>
      </x:c>
      <x:c r="H211" t="str"/>
    </x:row>
    <x:row r="212">
      <x:c r="A212" t="str">
        <x:v>True</x:v>
      </x:c>
      <x:c r="B212" t="str">
        <x:v>255</x:v>
      </x:c>
      <x:c r="C212" t="str">
        <x:v>I19</x:v>
      </x:c>
      <x:c r="D212" t="str">
        <x:v>Sample 211</x:v>
      </x:c>
      <x:c r="E212" t="n">
        <x:v>27.3</x:v>
      </x:c>
      <x:c r="F212"/>
      <x:c r="G212" t="n">
        <x:v>0</x:v>
      </x:c>
      <x:c r="H212" t="str"/>
    </x:row>
    <x:row r="213">
      <x:c r="A213" t="str">
        <x:v>True</x:v>
      </x:c>
      <x:c r="B213" t="str">
        <x:v>255</x:v>
      </x:c>
      <x:c r="C213" t="str">
        <x:v>I20</x:v>
      </x:c>
      <x:c r="D213" t="str">
        <x:v>Sample 212</x:v>
      </x:c>
      <x:c r="E213" t="n">
        <x:v>27.11</x:v>
      </x:c>
      <x:c r="F213"/>
      <x:c r="G213" t="n">
        <x:v>0</x:v>
      </x:c>
      <x:c r="H213" t="str"/>
    </x:row>
    <x:row r="214">
      <x:c r="A214" t="str">
        <x:v>True</x:v>
      </x:c>
      <x:c r="B214" t="str">
        <x:v>255</x:v>
      </x:c>
      <x:c r="C214" t="str">
        <x:v>I21</x:v>
      </x:c>
      <x:c r="D214" t="str">
        <x:v>Sample 213</x:v>
      </x:c>
      <x:c r="E214" t="n">
        <x:v>25.7</x:v>
      </x:c>
      <x:c r="F214"/>
      <x:c r="G214" t="n">
        <x:v>0</x:v>
      </x:c>
      <x:c r="H214" t="str"/>
    </x:row>
    <x:row r="215">
      <x:c r="A215" t="str">
        <x:v>True</x:v>
      </x:c>
      <x:c r="B215" t="str">
        <x:v>255</x:v>
      </x:c>
      <x:c r="C215" t="str">
        <x:v>I22</x:v>
      </x:c>
      <x:c r="D215" t="str">
        <x:v>Sample 214</x:v>
      </x:c>
      <x:c r="E215" t="n">
        <x:v>25.75</x:v>
      </x:c>
      <x:c r="F215"/>
      <x:c r="G215" t="n">
        <x:v>0</x:v>
      </x:c>
      <x:c r="H215" t="str"/>
    </x:row>
    <x:row r="216">
      <x:c r="A216" t="str">
        <x:v>True</x:v>
      </x:c>
      <x:c r="B216" t="str">
        <x:v>255</x:v>
      </x:c>
      <x:c r="C216" t="str">
        <x:v>I23</x:v>
      </x:c>
      <x:c r="D216" t="str">
        <x:v>Sample 215</x:v>
      </x:c>
      <x:c r="E216" t="n">
        <x:v>25.87</x:v>
      </x:c>
      <x:c r="F216"/>
      <x:c r="G216" t="n">
        <x:v>0</x:v>
      </x:c>
      <x:c r="H216" t="str"/>
    </x:row>
    <x:row r="217">
      <x:c r="A217" t="str">
        <x:v>True</x:v>
      </x:c>
      <x:c r="B217" t="str">
        <x:v>255</x:v>
      </x:c>
      <x:c r="C217" t="str">
        <x:v>I24</x:v>
      </x:c>
      <x:c r="D217" t="str">
        <x:v>Sample 216</x:v>
      </x:c>
      <x:c r="E217" t="n">
        <x:v>25.82</x:v>
      </x:c>
      <x:c r="F217"/>
      <x:c r="G217" t="n">
        <x:v>0</x:v>
      </x:c>
      <x:c r="H217" t="str"/>
    </x:row>
    <x:row r="218">
      <x:c r="A218" t="str">
        <x:v>True</x:v>
      </x:c>
      <x:c r="B218" t="str">
        <x:v>65280</x:v>
      </x:c>
      <x:c r="C218" t="str">
        <x:v>J1</x:v>
      </x:c>
      <x:c r="D218" t="str">
        <x:v>Sample 217</x:v>
      </x:c>
      <x:c r="E218"/>
      <x:c r="F218"/>
      <x:c r="G218" t="n">
        <x:v>0</x:v>
      </x:c>
      <x:c r="H218" t="str"/>
    </x:row>
    <x:row r="219">
      <x:c r="A219" t="str">
        <x:v>True</x:v>
      </x:c>
      <x:c r="B219" t="str">
        <x:v>65280</x:v>
      </x:c>
      <x:c r="C219" t="str">
        <x:v>J2</x:v>
      </x:c>
      <x:c r="D219" t="str">
        <x:v>Sample 218</x:v>
      </x:c>
      <x:c r="E219"/>
      <x:c r="F219"/>
      <x:c r="G219" t="n">
        <x:v>0</x:v>
      </x:c>
      <x:c r="H219" t="str"/>
    </x:row>
    <x:row r="220">
      <x:c r="A220" t="str">
        <x:v>True</x:v>
      </x:c>
      <x:c r="B220" t="str">
        <x:v>65280</x:v>
      </x:c>
      <x:c r="C220" t="str">
        <x:v>J3</x:v>
      </x:c>
      <x:c r="D220" t="str">
        <x:v>Sample 219</x:v>
      </x:c>
      <x:c r="E220"/>
      <x:c r="F220"/>
      <x:c r="G220" t="n">
        <x:v>0</x:v>
      </x:c>
      <x:c r="H220" t="str"/>
    </x:row>
    <x:row r="221">
      <x:c r="A221" t="str">
        <x:v>True</x:v>
      </x:c>
      <x:c r="B221" t="str">
        <x:v>65280</x:v>
      </x:c>
      <x:c r="C221" t="str">
        <x:v>J4</x:v>
      </x:c>
      <x:c r="D221" t="str">
        <x:v>Sample 220</x:v>
      </x:c>
      <x:c r="E221"/>
      <x:c r="F221"/>
      <x:c r="G221" t="n">
        <x:v>0</x:v>
      </x:c>
      <x:c r="H221" t="str"/>
    </x:row>
    <x:row r="222">
      <x:c r="A222" t="str">
        <x:v>True</x:v>
      </x:c>
      <x:c r="B222" t="str">
        <x:v>65280</x:v>
      </x:c>
      <x:c r="C222" t="str">
        <x:v>J5</x:v>
      </x:c>
      <x:c r="D222" t="str">
        <x:v>Sample 221</x:v>
      </x:c>
      <x:c r="E222"/>
      <x:c r="F222"/>
      <x:c r="G222" t="n">
        <x:v>0</x:v>
      </x:c>
      <x:c r="H222" t="str"/>
    </x:row>
    <x:row r="223">
      <x:c r="A223" t="str">
        <x:v>True</x:v>
      </x:c>
      <x:c r="B223" t="str">
        <x:v>65280</x:v>
      </x:c>
      <x:c r="C223" t="str">
        <x:v>J6</x:v>
      </x:c>
      <x:c r="D223" t="str">
        <x:v>Sample 222</x:v>
      </x:c>
      <x:c r="E223"/>
      <x:c r="F223"/>
      <x:c r="G223" t="n">
        <x:v>0</x:v>
      </x:c>
      <x:c r="H223" t="str"/>
    </x:row>
    <x:row r="224">
      <x:c r="A224" t="str">
        <x:v>True</x:v>
      </x:c>
      <x:c r="B224" t="str">
        <x:v>65280</x:v>
      </x:c>
      <x:c r="C224" t="str">
        <x:v>J7</x:v>
      </x:c>
      <x:c r="D224" t="str">
        <x:v>Sample 223</x:v>
      </x:c>
      <x:c r="E224"/>
      <x:c r="F224"/>
      <x:c r="G224" t="n">
        <x:v>0</x:v>
      </x:c>
      <x:c r="H224" t="str"/>
    </x:row>
    <x:row r="225">
      <x:c r="A225" t="str">
        <x:v>True</x:v>
      </x:c>
      <x:c r="B225" t="str">
        <x:v>65280</x:v>
      </x:c>
      <x:c r="C225" t="str">
        <x:v>J8</x:v>
      </x:c>
      <x:c r="D225" t="str">
        <x:v>Sample 224</x:v>
      </x:c>
      <x:c r="E225"/>
      <x:c r="F225"/>
      <x:c r="G225" t="n">
        <x:v>0</x:v>
      </x:c>
      <x:c r="H225" t="str"/>
    </x:row>
    <x:row r="226">
      <x:c r="A226" t="str">
        <x:v>True</x:v>
      </x:c>
      <x:c r="B226" t="str">
        <x:v>65280</x:v>
      </x:c>
      <x:c r="C226" t="str">
        <x:v>J9</x:v>
      </x:c>
      <x:c r="D226" t="str">
        <x:v>Sample 225</x:v>
      </x:c>
      <x:c r="E226"/>
      <x:c r="F226"/>
      <x:c r="G226" t="n">
        <x:v>0</x:v>
      </x:c>
      <x:c r="H226" t="str"/>
    </x:row>
    <x:row r="227">
      <x:c r="A227" t="str">
        <x:v>True</x:v>
      </x:c>
      <x:c r="B227" t="str">
        <x:v>65280</x:v>
      </x:c>
      <x:c r="C227" t="str">
        <x:v>J10</x:v>
      </x:c>
      <x:c r="D227" t="str">
        <x:v>Sample 226</x:v>
      </x:c>
      <x:c r="E227"/>
      <x:c r="F227"/>
      <x:c r="G227" t="n">
        <x:v>0</x:v>
      </x:c>
      <x:c r="H227" t="str"/>
    </x:row>
    <x:row r="228">
      <x:c r="A228" t="str">
        <x:v>True</x:v>
      </x:c>
      <x:c r="B228" t="str">
        <x:v>65280</x:v>
      </x:c>
      <x:c r="C228" t="str">
        <x:v>J11</x:v>
      </x:c>
      <x:c r="D228" t="str">
        <x:v>Sample 227</x:v>
      </x:c>
      <x:c r="E228"/>
      <x:c r="F228"/>
      <x:c r="G228" t="n">
        <x:v>0</x:v>
      </x:c>
      <x:c r="H228" t="str"/>
    </x:row>
    <x:row r="229">
      <x:c r="A229" t="str">
        <x:v>True</x:v>
      </x:c>
      <x:c r="B229" t="str">
        <x:v>65280</x:v>
      </x:c>
      <x:c r="C229" t="str">
        <x:v>J12</x:v>
      </x:c>
      <x:c r="D229" t="str">
        <x:v>Sample 228</x:v>
      </x:c>
      <x:c r="E229"/>
      <x:c r="F229"/>
      <x:c r="G229" t="n">
        <x:v>0</x:v>
      </x:c>
      <x:c r="H229" t="str"/>
    </x:row>
    <x:row r="230">
      <x:c r="A230" t="str">
        <x:v>True</x:v>
      </x:c>
      <x:c r="B230" t="str">
        <x:v>65280</x:v>
      </x:c>
      <x:c r="C230" t="str">
        <x:v>J13</x:v>
      </x:c>
      <x:c r="D230" t="str">
        <x:v>Sample 229</x:v>
      </x:c>
      <x:c r="E230"/>
      <x:c r="F230"/>
      <x:c r="G230" t="n">
        <x:v>0</x:v>
      </x:c>
      <x:c r="H230" t="str"/>
    </x:row>
    <x:row r="231">
      <x:c r="A231" t="str">
        <x:v>True</x:v>
      </x:c>
      <x:c r="B231" t="str">
        <x:v>65280</x:v>
      </x:c>
      <x:c r="C231" t="str">
        <x:v>J14</x:v>
      </x:c>
      <x:c r="D231" t="str">
        <x:v>Sample 230</x:v>
      </x:c>
      <x:c r="E231"/>
      <x:c r="F231"/>
      <x:c r="G231" t="n">
        <x:v>0</x:v>
      </x:c>
      <x:c r="H231" t="str"/>
    </x:row>
    <x:row r="232">
      <x:c r="A232" t="str">
        <x:v>True</x:v>
      </x:c>
      <x:c r="B232" t="str">
        <x:v>65280</x:v>
      </x:c>
      <x:c r="C232" t="str">
        <x:v>J15</x:v>
      </x:c>
      <x:c r="D232" t="str">
        <x:v>Sample 231</x:v>
      </x:c>
      <x:c r="E232"/>
      <x:c r="F232"/>
      <x:c r="G232" t="n">
        <x:v>0</x:v>
      </x:c>
      <x:c r="H232" t="str"/>
    </x:row>
    <x:row r="233">
      <x:c r="A233" t="str">
        <x:v>True</x:v>
      </x:c>
      <x:c r="B233" t="str">
        <x:v>65280</x:v>
      </x:c>
      <x:c r="C233" t="str">
        <x:v>J16</x:v>
      </x:c>
      <x:c r="D233" t="str">
        <x:v>Sample 232</x:v>
      </x:c>
      <x:c r="E233"/>
      <x:c r="F233"/>
      <x:c r="G233" t="n">
        <x:v>0</x:v>
      </x:c>
      <x:c r="H233" t="str"/>
    </x:row>
    <x:row r="234">
      <x:c r="A234" t="str">
        <x:v>True</x:v>
      </x:c>
      <x:c r="B234" t="str">
        <x:v>65280</x:v>
      </x:c>
      <x:c r="C234" t="str">
        <x:v>J17</x:v>
      </x:c>
      <x:c r="D234" t="str">
        <x:v>Sample 233</x:v>
      </x:c>
      <x:c r="E234"/>
      <x:c r="F234"/>
      <x:c r="G234" t="n">
        <x:v>0</x:v>
      </x:c>
      <x:c r="H234" t="str"/>
    </x:row>
    <x:row r="235">
      <x:c r="A235" t="str">
        <x:v>True</x:v>
      </x:c>
      <x:c r="B235" t="str">
        <x:v>65280</x:v>
      </x:c>
      <x:c r="C235" t="str">
        <x:v>J18</x:v>
      </x:c>
      <x:c r="D235" t="str">
        <x:v>Sample 234</x:v>
      </x:c>
      <x:c r="E235"/>
      <x:c r="F235"/>
      <x:c r="G235" t="n">
        <x:v>0</x:v>
      </x:c>
      <x:c r="H235" t="str"/>
    </x:row>
    <x:row r="236">
      <x:c r="A236" t="str">
        <x:v>True</x:v>
      </x:c>
      <x:c r="B236" t="str">
        <x:v>65280</x:v>
      </x:c>
      <x:c r="C236" t="str">
        <x:v>J19</x:v>
      </x:c>
      <x:c r="D236" t="str">
        <x:v>Sample 235</x:v>
      </x:c>
      <x:c r="E236"/>
      <x:c r="F236"/>
      <x:c r="G236" t="n">
        <x:v>0</x:v>
      </x:c>
      <x:c r="H236" t="str"/>
    </x:row>
    <x:row r="237">
      <x:c r="A237" t="str">
        <x:v>True</x:v>
      </x:c>
      <x:c r="B237" t="str">
        <x:v>65280</x:v>
      </x:c>
      <x:c r="C237" t="str">
        <x:v>J20</x:v>
      </x:c>
      <x:c r="D237" t="str">
        <x:v>Sample 236</x:v>
      </x:c>
      <x:c r="E237"/>
      <x:c r="F237"/>
      <x:c r="G237" t="n">
        <x:v>0</x:v>
      </x:c>
      <x:c r="H237" t="str"/>
    </x:row>
    <x:row r="238">
      <x:c r="A238" t="str">
        <x:v>True</x:v>
      </x:c>
      <x:c r="B238" t="str">
        <x:v>65280</x:v>
      </x:c>
      <x:c r="C238" t="str">
        <x:v>J21</x:v>
      </x:c>
      <x:c r="D238" t="str">
        <x:v>Sample 237</x:v>
      </x:c>
      <x:c r="E238"/>
      <x:c r="F238"/>
      <x:c r="G238" t="n">
        <x:v>0</x:v>
      </x:c>
      <x:c r="H238" t="str"/>
    </x:row>
    <x:row r="239">
      <x:c r="A239" t="str">
        <x:v>True</x:v>
      </x:c>
      <x:c r="B239" t="str">
        <x:v>65280</x:v>
      </x:c>
      <x:c r="C239" t="str">
        <x:v>J22</x:v>
      </x:c>
      <x:c r="D239" t="str">
        <x:v>Sample 238</x:v>
      </x:c>
      <x:c r="E239"/>
      <x:c r="F239"/>
      <x:c r="G239" t="n">
        <x:v>0</x:v>
      </x:c>
      <x:c r="H239" t="str"/>
    </x:row>
    <x:row r="240">
      <x:c r="A240" t="str">
        <x:v>True</x:v>
      </x:c>
      <x:c r="B240" t="str">
        <x:v>65280</x:v>
      </x:c>
      <x:c r="C240" t="str">
        <x:v>J23</x:v>
      </x:c>
      <x:c r="D240" t="str">
        <x:v>Sample 239</x:v>
      </x:c>
      <x:c r="E240"/>
      <x:c r="F240"/>
      <x:c r="G240" t="n">
        <x:v>0</x:v>
      </x:c>
      <x:c r="H240" t="str"/>
    </x:row>
    <x:row r="241">
      <x:c r="A241" t="str">
        <x:v>True</x:v>
      </x:c>
      <x:c r="B241" t="str">
        <x:v>65280</x:v>
      </x:c>
      <x:c r="C241" t="str">
        <x:v>J24</x:v>
      </x:c>
      <x:c r="D241" t="str">
        <x:v>Sample 240</x:v>
      </x:c>
      <x:c r="E241"/>
      <x:c r="F241"/>
      <x:c r="G241" t="n">
        <x:v>0</x:v>
      </x:c>
      <x:c r="H241" t="str"/>
    </x:row>
    <x:row r="242">
      <x:c r="A242" t="str">
        <x:v>True</x:v>
      </x:c>
      <x:c r="B242" t="str">
        <x:v>255</x:v>
      </x:c>
      <x:c r="C242" t="str">
        <x:v>K1</x:v>
      </x:c>
      <x:c r="D242" t="str">
        <x:v>Sample 241</x:v>
      </x:c>
      <x:c r="E242" t="n">
        <x:v>16.11</x:v>
      </x:c>
      <x:c r="F242"/>
      <x:c r="G242" t="n">
        <x:v>0</x:v>
      </x:c>
      <x:c r="H242" t="str"/>
    </x:row>
    <x:row r="243">
      <x:c r="A243" t="str">
        <x:v>True</x:v>
      </x:c>
      <x:c r="B243" t="str">
        <x:v>255</x:v>
      </x:c>
      <x:c r="C243" t="str">
        <x:v>K2</x:v>
      </x:c>
      <x:c r="D243" t="str">
        <x:v>Sample 242</x:v>
      </x:c>
      <x:c r="E243" t="n">
        <x:v>16.11</x:v>
      </x:c>
      <x:c r="F243"/>
      <x:c r="G243" t="n">
        <x:v>0</x:v>
      </x:c>
      <x:c r="H243" t="str"/>
    </x:row>
    <x:row r="244">
      <x:c r="A244" t="str">
        <x:v>True</x:v>
      </x:c>
      <x:c r="B244" t="str">
        <x:v>255</x:v>
      </x:c>
      <x:c r="C244" t="str">
        <x:v>K3</x:v>
      </x:c>
      <x:c r="D244" t="str">
        <x:v>Sample 243</x:v>
      </x:c>
      <x:c r="E244" t="n">
        <x:v>16.16</x:v>
      </x:c>
      <x:c r="F244"/>
      <x:c r="G244" t="n">
        <x:v>0</x:v>
      </x:c>
      <x:c r="H244" t="str"/>
    </x:row>
    <x:row r="245">
      <x:c r="A245" t="str">
        <x:v>True</x:v>
      </x:c>
      <x:c r="B245" t="str">
        <x:v>255</x:v>
      </x:c>
      <x:c r="C245" t="str">
        <x:v>K4</x:v>
      </x:c>
      <x:c r="D245" t="str">
        <x:v>Sample 244</x:v>
      </x:c>
      <x:c r="E245" t="n">
        <x:v>16.2</x:v>
      </x:c>
      <x:c r="F245"/>
      <x:c r="G245" t="n">
        <x:v>0</x:v>
      </x:c>
      <x:c r="H245" t="str"/>
    </x:row>
    <x:row r="246">
      <x:c r="A246" t="str">
        <x:v>True</x:v>
      </x:c>
      <x:c r="B246" t="str">
        <x:v>255</x:v>
      </x:c>
      <x:c r="C246" t="str">
        <x:v>K5</x:v>
      </x:c>
      <x:c r="D246" t="str">
        <x:v>Sample 245</x:v>
      </x:c>
      <x:c r="E246" t="n">
        <x:v>25.06</x:v>
      </x:c>
      <x:c r="F246"/>
      <x:c r="G246" t="n">
        <x:v>0</x:v>
      </x:c>
      <x:c r="H246" t="str"/>
    </x:row>
    <x:row r="247">
      <x:c r="A247" t="str">
        <x:v>True</x:v>
      </x:c>
      <x:c r="B247" t="str">
        <x:v>255</x:v>
      </x:c>
      <x:c r="C247" t="str">
        <x:v>K6</x:v>
      </x:c>
      <x:c r="D247" t="str">
        <x:v>Sample 246</x:v>
      </x:c>
      <x:c r="E247" t="n">
        <x:v>25.08</x:v>
      </x:c>
      <x:c r="F247"/>
      <x:c r="G247" t="n">
        <x:v>0</x:v>
      </x:c>
      <x:c r="H247" t="str"/>
    </x:row>
    <x:row r="248">
      <x:c r="A248" t="str">
        <x:v>True</x:v>
      </x:c>
      <x:c r="B248" t="str">
        <x:v>255</x:v>
      </x:c>
      <x:c r="C248" t="str">
        <x:v>K7</x:v>
      </x:c>
      <x:c r="D248" t="str">
        <x:v>Sample 247</x:v>
      </x:c>
      <x:c r="E248" t="n">
        <x:v>25.13</x:v>
      </x:c>
      <x:c r="F248"/>
      <x:c r="G248" t="n">
        <x:v>0</x:v>
      </x:c>
      <x:c r="H248" t="str"/>
    </x:row>
    <x:row r="249">
      <x:c r="A249" t="str">
        <x:v>True</x:v>
      </x:c>
      <x:c r="B249" t="str">
        <x:v>255</x:v>
      </x:c>
      <x:c r="C249" t="str">
        <x:v>K8</x:v>
      </x:c>
      <x:c r="D249" t="str">
        <x:v>Sample 248</x:v>
      </x:c>
      <x:c r="E249" t="n">
        <x:v>25.2</x:v>
      </x:c>
      <x:c r="F249"/>
      <x:c r="G249" t="n">
        <x:v>0</x:v>
      </x:c>
      <x:c r="H249" t="str"/>
    </x:row>
    <x:row r="250">
      <x:c r="A250" t="str">
        <x:v>True</x:v>
      </x:c>
      <x:c r="B250" t="str">
        <x:v>255</x:v>
      </x:c>
      <x:c r="C250" t="str">
        <x:v>K9</x:v>
      </x:c>
      <x:c r="D250" t="str">
        <x:v>Sample 249</x:v>
      </x:c>
      <x:c r="E250" t="n">
        <x:v>26.72</x:v>
      </x:c>
      <x:c r="F250"/>
      <x:c r="G250" t="n">
        <x:v>0</x:v>
      </x:c>
      <x:c r="H250" t="str"/>
    </x:row>
    <x:row r="251">
      <x:c r="A251" t="str">
        <x:v>True</x:v>
      </x:c>
      <x:c r="B251" t="str">
        <x:v>255</x:v>
      </x:c>
      <x:c r="C251" t="str">
        <x:v>K10</x:v>
      </x:c>
      <x:c r="D251" t="str">
        <x:v>Sample 250</x:v>
      </x:c>
      <x:c r="E251" t="n">
        <x:v>26.99</x:v>
      </x:c>
      <x:c r="F251"/>
      <x:c r="G251" t="n">
        <x:v>0</x:v>
      </x:c>
      <x:c r="H251" t="str"/>
    </x:row>
    <x:row r="252">
      <x:c r="A252" t="str">
        <x:v>True</x:v>
      </x:c>
      <x:c r="B252" t="str">
        <x:v>255</x:v>
      </x:c>
      <x:c r="C252" t="str">
        <x:v>K11</x:v>
      </x:c>
      <x:c r="D252" t="str">
        <x:v>Sample 251</x:v>
      </x:c>
      <x:c r="E252" t="n">
        <x:v>27.02</x:v>
      </x:c>
      <x:c r="F252"/>
      <x:c r="G252" t="n">
        <x:v>0</x:v>
      </x:c>
      <x:c r="H252" t="str"/>
    </x:row>
    <x:row r="253">
      <x:c r="A253" t="str">
        <x:v>True</x:v>
      </x:c>
      <x:c r="B253" t="str">
        <x:v>255</x:v>
      </x:c>
      <x:c r="C253" t="str">
        <x:v>K12</x:v>
      </x:c>
      <x:c r="D253" t="str">
        <x:v>Sample 252</x:v>
      </x:c>
      <x:c r="E253" t="n">
        <x:v>27.01</x:v>
      </x:c>
      <x:c r="F253"/>
      <x:c r="G253" t="n">
        <x:v>0</x:v>
      </x:c>
      <x:c r="H253" t="str"/>
    </x:row>
    <x:row r="254">
      <x:c r="A254" t="str">
        <x:v>True</x:v>
      </x:c>
      <x:c r="B254" t="str">
        <x:v>255</x:v>
      </x:c>
      <x:c r="C254" t="str">
        <x:v>K13</x:v>
      </x:c>
      <x:c r="D254" t="str">
        <x:v>Sample 253</x:v>
      </x:c>
      <x:c r="E254" t="n">
        <x:v>27.21</x:v>
      </x:c>
      <x:c r="F254"/>
      <x:c r="G254" t="n">
        <x:v>0</x:v>
      </x:c>
      <x:c r="H254" t="str"/>
    </x:row>
    <x:row r="255">
      <x:c r="A255" t="str">
        <x:v>True</x:v>
      </x:c>
      <x:c r="B255" t="str">
        <x:v>255</x:v>
      </x:c>
      <x:c r="C255" t="str">
        <x:v>K14</x:v>
      </x:c>
      <x:c r="D255" t="str">
        <x:v>Sample 254</x:v>
      </x:c>
      <x:c r="E255" t="n">
        <x:v>23.61</x:v>
      </x:c>
      <x:c r="F255"/>
      <x:c r="G255" t="n">
        <x:v>0</x:v>
      </x:c>
      <x:c r="H255" t="str"/>
    </x:row>
    <x:row r="256">
      <x:c r="A256" t="str">
        <x:v>True</x:v>
      </x:c>
      <x:c r="B256" t="str">
        <x:v>255</x:v>
      </x:c>
      <x:c r="C256" t="str">
        <x:v>K15</x:v>
      </x:c>
      <x:c r="D256" t="str">
        <x:v>Sample 255</x:v>
      </x:c>
      <x:c r="E256" t="n">
        <x:v>27.04</x:v>
      </x:c>
      <x:c r="F256"/>
      <x:c r="G256" t="n">
        <x:v>0</x:v>
      </x:c>
      <x:c r="H256" t="str"/>
    </x:row>
    <x:row r="257">
      <x:c r="A257" t="str">
        <x:v>True</x:v>
      </x:c>
      <x:c r="B257" t="str">
        <x:v>255</x:v>
      </x:c>
      <x:c r="C257" t="str">
        <x:v>K16</x:v>
      </x:c>
      <x:c r="D257" t="str">
        <x:v>Sample 256</x:v>
      </x:c>
      <x:c r="E257" t="n">
        <x:v>27.27</x:v>
      </x:c>
      <x:c r="F257"/>
      <x:c r="G257" t="n">
        <x:v>0</x:v>
      </x:c>
      <x:c r="H257" t="str"/>
    </x:row>
    <x:row r="258">
      <x:c r="A258" t="str">
        <x:v>True</x:v>
      </x:c>
      <x:c r="B258" t="str">
        <x:v>255</x:v>
      </x:c>
      <x:c r="C258" t="str">
        <x:v>K17</x:v>
      </x:c>
      <x:c r="D258" t="str">
        <x:v>Sample 257</x:v>
      </x:c>
      <x:c r="E258" t="n">
        <x:v>27.46</x:v>
      </x:c>
      <x:c r="F258"/>
      <x:c r="G258" t="n">
        <x:v>0</x:v>
      </x:c>
      <x:c r="H258" t="str"/>
    </x:row>
    <x:row r="259">
      <x:c r="A259" t="str">
        <x:v>True</x:v>
      </x:c>
      <x:c r="B259" t="str">
        <x:v>255</x:v>
      </x:c>
      <x:c r="C259" t="str">
        <x:v>K18</x:v>
      </x:c>
      <x:c r="D259" t="str">
        <x:v>Sample 258</x:v>
      </x:c>
      <x:c r="E259" t="n">
        <x:v>27.67</x:v>
      </x:c>
      <x:c r="F259"/>
      <x:c r="G259" t="n">
        <x:v>0</x:v>
      </x:c>
      <x:c r="H259" t="str"/>
    </x:row>
    <x:row r="260">
      <x:c r="A260" t="str">
        <x:v>True</x:v>
      </x:c>
      <x:c r="B260" t="str">
        <x:v>255</x:v>
      </x:c>
      <x:c r="C260" t="str">
        <x:v>K19</x:v>
      </x:c>
      <x:c r="D260" t="str">
        <x:v>Sample 259</x:v>
      </x:c>
      <x:c r="E260" t="n">
        <x:v>27.49</x:v>
      </x:c>
      <x:c r="F260"/>
      <x:c r="G260" t="n">
        <x:v>0</x:v>
      </x:c>
      <x:c r="H260" t="str"/>
    </x:row>
    <x:row r="261">
      <x:c r="A261" t="str">
        <x:v>True</x:v>
      </x:c>
      <x:c r="B261" t="str">
        <x:v>255</x:v>
      </x:c>
      <x:c r="C261" t="str">
        <x:v>K20</x:v>
      </x:c>
      <x:c r="D261" t="str">
        <x:v>Sample 260</x:v>
      </x:c>
      <x:c r="E261" t="n">
        <x:v>27.55</x:v>
      </x:c>
      <x:c r="F261"/>
      <x:c r="G261" t="n">
        <x:v>0</x:v>
      </x:c>
      <x:c r="H261" t="str"/>
    </x:row>
    <x:row r="262">
      <x:c r="A262" t="str">
        <x:v>True</x:v>
      </x:c>
      <x:c r="B262" t="str">
        <x:v>255</x:v>
      </x:c>
      <x:c r="C262" t="str">
        <x:v>K21</x:v>
      </x:c>
      <x:c r="D262" t="str">
        <x:v>Sample 261</x:v>
      </x:c>
      <x:c r="E262" t="n">
        <x:v>25.34</x:v>
      </x:c>
      <x:c r="F262"/>
      <x:c r="G262" t="n">
        <x:v>0</x:v>
      </x:c>
      <x:c r="H262" t="str"/>
    </x:row>
    <x:row r="263">
      <x:c r="A263" t="str">
        <x:v>True</x:v>
      </x:c>
      <x:c r="B263" t="str">
        <x:v>255</x:v>
      </x:c>
      <x:c r="C263" t="str">
        <x:v>K22</x:v>
      </x:c>
      <x:c r="D263" t="str">
        <x:v>Sample 262</x:v>
      </x:c>
      <x:c r="E263" t="n">
        <x:v>25.52</x:v>
      </x:c>
      <x:c r="F263"/>
      <x:c r="G263" t="n">
        <x:v>0</x:v>
      </x:c>
      <x:c r="H263" t="str"/>
    </x:row>
    <x:row r="264">
      <x:c r="A264" t="str">
        <x:v>True</x:v>
      </x:c>
      <x:c r="B264" t="str">
        <x:v>255</x:v>
      </x:c>
      <x:c r="C264" t="str">
        <x:v>K23</x:v>
      </x:c>
      <x:c r="D264" t="str">
        <x:v>Sample 263</x:v>
      </x:c>
      <x:c r="E264" t="n">
        <x:v>25.53</x:v>
      </x:c>
      <x:c r="F264"/>
      <x:c r="G264" t="n">
        <x:v>0</x:v>
      </x:c>
      <x:c r="H264" t="str"/>
    </x:row>
    <x:row r="265">
      <x:c r="A265" t="str">
        <x:v>True</x:v>
      </x:c>
      <x:c r="B265" t="str">
        <x:v>255</x:v>
      </x:c>
      <x:c r="C265" t="str">
        <x:v>K24</x:v>
      </x:c>
      <x:c r="D265" t="str">
        <x:v>Sample 264</x:v>
      </x:c>
      <x:c r="E265" t="n">
        <x:v>25.52</x:v>
      </x:c>
      <x:c r="F265"/>
      <x:c r="G265" t="n">
        <x:v>0</x:v>
      </x:c>
      <x:c r="H265" t="str"/>
    </x:row>
    <x:row r="266">
      <x:c r="A266" t="str">
        <x:v>True</x:v>
      </x:c>
      <x:c r="B266" t="str">
        <x:v>65280</x:v>
      </x:c>
      <x:c r="C266" t="str">
        <x:v>L1</x:v>
      </x:c>
      <x:c r="D266" t="str">
        <x:v>Sample 265</x:v>
      </x:c>
      <x:c r="E266"/>
      <x:c r="F266"/>
      <x:c r="G266" t="n">
        <x:v>0</x:v>
      </x:c>
      <x:c r="H266" t="str"/>
    </x:row>
    <x:row r="267">
      <x:c r="A267" t="str">
        <x:v>True</x:v>
      </x:c>
      <x:c r="B267" t="str">
        <x:v>65280</x:v>
      </x:c>
      <x:c r="C267" t="str">
        <x:v>L2</x:v>
      </x:c>
      <x:c r="D267" t="str">
        <x:v>Sample 266</x:v>
      </x:c>
      <x:c r="E267"/>
      <x:c r="F267"/>
      <x:c r="G267" t="n">
        <x:v>0</x:v>
      </x:c>
      <x:c r="H267" t="str"/>
    </x:row>
    <x:row r="268">
      <x:c r="A268" t="str">
        <x:v>True</x:v>
      </x:c>
      <x:c r="B268" t="str">
        <x:v>65280</x:v>
      </x:c>
      <x:c r="C268" t="str">
        <x:v>L3</x:v>
      </x:c>
      <x:c r="D268" t="str">
        <x:v>Sample 267</x:v>
      </x:c>
      <x:c r="E268"/>
      <x:c r="F268"/>
      <x:c r="G268" t="n">
        <x:v>0</x:v>
      </x:c>
      <x:c r="H268" t="str"/>
    </x:row>
    <x:row r="269">
      <x:c r="A269" t="str">
        <x:v>True</x:v>
      </x:c>
      <x:c r="B269" t="str">
        <x:v>65280</x:v>
      </x:c>
      <x:c r="C269" t="str">
        <x:v>L4</x:v>
      </x:c>
      <x:c r="D269" t="str">
        <x:v>Sample 268</x:v>
      </x:c>
      <x:c r="E269"/>
      <x:c r="F269"/>
      <x:c r="G269" t="n">
        <x:v>0</x:v>
      </x:c>
      <x:c r="H269" t="str"/>
    </x:row>
    <x:row r="270">
      <x:c r="A270" t="str">
        <x:v>True</x:v>
      </x:c>
      <x:c r="B270" t="str">
        <x:v>65280</x:v>
      </x:c>
      <x:c r="C270" t="str">
        <x:v>L5</x:v>
      </x:c>
      <x:c r="D270" t="str">
        <x:v>Sample 269</x:v>
      </x:c>
      <x:c r="E270"/>
      <x:c r="F270"/>
      <x:c r="G270" t="n">
        <x:v>0</x:v>
      </x:c>
      <x:c r="H270" t="str"/>
    </x:row>
    <x:row r="271">
      <x:c r="A271" t="str">
        <x:v>True</x:v>
      </x:c>
      <x:c r="B271" t="str">
        <x:v>65280</x:v>
      </x:c>
      <x:c r="C271" t="str">
        <x:v>L6</x:v>
      </x:c>
      <x:c r="D271" t="str">
        <x:v>Sample 270</x:v>
      </x:c>
      <x:c r="E271"/>
      <x:c r="F271"/>
      <x:c r="G271" t="n">
        <x:v>0</x:v>
      </x:c>
      <x:c r="H271" t="str"/>
    </x:row>
    <x:row r="272">
      <x:c r="A272" t="str">
        <x:v>True</x:v>
      </x:c>
      <x:c r="B272" t="str">
        <x:v>65280</x:v>
      </x:c>
      <x:c r="C272" t="str">
        <x:v>L7</x:v>
      </x:c>
      <x:c r="D272" t="str">
        <x:v>Sample 271</x:v>
      </x:c>
      <x:c r="E272"/>
      <x:c r="F272"/>
      <x:c r="G272" t="n">
        <x:v>0</x:v>
      </x:c>
      <x:c r="H272" t="str"/>
    </x:row>
    <x:row r="273">
      <x:c r="A273" t="str">
        <x:v>True</x:v>
      </x:c>
      <x:c r="B273" t="str">
        <x:v>65280</x:v>
      </x:c>
      <x:c r="C273" t="str">
        <x:v>L8</x:v>
      </x:c>
      <x:c r="D273" t="str">
        <x:v>Sample 272</x:v>
      </x:c>
      <x:c r="E273"/>
      <x:c r="F273"/>
      <x:c r="G273" t="n">
        <x:v>0</x:v>
      </x:c>
      <x:c r="H273" t="str"/>
    </x:row>
    <x:row r="274">
      <x:c r="A274" t="str">
        <x:v>True</x:v>
      </x:c>
      <x:c r="B274" t="str">
        <x:v>65280</x:v>
      </x:c>
      <x:c r="C274" t="str">
        <x:v>L9</x:v>
      </x:c>
      <x:c r="D274" t="str">
        <x:v>Sample 273</x:v>
      </x:c>
      <x:c r="E274"/>
      <x:c r="F274"/>
      <x:c r="G274" t="n">
        <x:v>0</x:v>
      </x:c>
      <x:c r="H274" t="str"/>
    </x:row>
    <x:row r="275">
      <x:c r="A275" t="str">
        <x:v>True</x:v>
      </x:c>
      <x:c r="B275" t="str">
        <x:v>65280</x:v>
      </x:c>
      <x:c r="C275" t="str">
        <x:v>L10</x:v>
      </x:c>
      <x:c r="D275" t="str">
        <x:v>Sample 274</x:v>
      </x:c>
      <x:c r="E275"/>
      <x:c r="F275"/>
      <x:c r="G275" t="n">
        <x:v>0</x:v>
      </x:c>
      <x:c r="H275" t="str"/>
    </x:row>
    <x:row r="276">
      <x:c r="A276" t="str">
        <x:v>True</x:v>
      </x:c>
      <x:c r="B276" t="str">
        <x:v>65280</x:v>
      </x:c>
      <x:c r="C276" t="str">
        <x:v>L11</x:v>
      </x:c>
      <x:c r="D276" t="str">
        <x:v>Sample 275</x:v>
      </x:c>
      <x:c r="E276"/>
      <x:c r="F276"/>
      <x:c r="G276" t="n">
        <x:v>0</x:v>
      </x:c>
      <x:c r="H276" t="str"/>
    </x:row>
    <x:row r="277">
      <x:c r="A277" t="str">
        <x:v>True</x:v>
      </x:c>
      <x:c r="B277" t="str">
        <x:v>65280</x:v>
      </x:c>
      <x:c r="C277" t="str">
        <x:v>L12</x:v>
      </x:c>
      <x:c r="D277" t="str">
        <x:v>Sample 276</x:v>
      </x:c>
      <x:c r="E277"/>
      <x:c r="F277"/>
      <x:c r="G277" t="n">
        <x:v>0</x:v>
      </x:c>
      <x:c r="H277" t="str"/>
    </x:row>
    <x:row r="278">
      <x:c r="A278" t="str">
        <x:v>True</x:v>
      </x:c>
      <x:c r="B278" t="str">
        <x:v>65280</x:v>
      </x:c>
      <x:c r="C278" t="str">
        <x:v>L13</x:v>
      </x:c>
      <x:c r="D278" t="str">
        <x:v>Sample 277</x:v>
      </x:c>
      <x:c r="E278"/>
      <x:c r="F278"/>
      <x:c r="G278" t="n">
        <x:v>0</x:v>
      </x:c>
      <x:c r="H278" t="str"/>
    </x:row>
    <x:row r="279">
      <x:c r="A279" t="str">
        <x:v>True</x:v>
      </x:c>
      <x:c r="B279" t="str">
        <x:v>65280</x:v>
      </x:c>
      <x:c r="C279" t="str">
        <x:v>L14</x:v>
      </x:c>
      <x:c r="D279" t="str">
        <x:v>Sample 278</x:v>
      </x:c>
      <x:c r="E279"/>
      <x:c r="F279"/>
      <x:c r="G279" t="n">
        <x:v>0</x:v>
      </x:c>
      <x:c r="H279" t="str"/>
    </x:row>
    <x:row r="280">
      <x:c r="A280" t="str">
        <x:v>True</x:v>
      </x:c>
      <x:c r="B280" t="str">
        <x:v>65280</x:v>
      </x:c>
      <x:c r="C280" t="str">
        <x:v>L15</x:v>
      </x:c>
      <x:c r="D280" t="str">
        <x:v>Sample 279</x:v>
      </x:c>
      <x:c r="E280"/>
      <x:c r="F280"/>
      <x:c r="G280" t="n">
        <x:v>0</x:v>
      </x:c>
      <x:c r="H280" t="str"/>
    </x:row>
    <x:row r="281">
      <x:c r="A281" t="str">
        <x:v>True</x:v>
      </x:c>
      <x:c r="B281" t="str">
        <x:v>65280</x:v>
      </x:c>
      <x:c r="C281" t="str">
        <x:v>L16</x:v>
      </x:c>
      <x:c r="D281" t="str">
        <x:v>Sample 280</x:v>
      </x:c>
      <x:c r="E281"/>
      <x:c r="F281"/>
      <x:c r="G281" t="n">
        <x:v>0</x:v>
      </x:c>
      <x:c r="H281" t="str"/>
    </x:row>
    <x:row r="282">
      <x:c r="A282" t="str">
        <x:v>True</x:v>
      </x:c>
      <x:c r="B282" t="str">
        <x:v>65280</x:v>
      </x:c>
      <x:c r="C282" t="str">
        <x:v>L17</x:v>
      </x:c>
      <x:c r="D282" t="str">
        <x:v>Sample 281</x:v>
      </x:c>
      <x:c r="E282"/>
      <x:c r="F282"/>
      <x:c r="G282" t="n">
        <x:v>0</x:v>
      </x:c>
      <x:c r="H282" t="str"/>
    </x:row>
    <x:row r="283">
      <x:c r="A283" t="str">
        <x:v>True</x:v>
      </x:c>
      <x:c r="B283" t="str">
        <x:v>65280</x:v>
      </x:c>
      <x:c r="C283" t="str">
        <x:v>L18</x:v>
      </x:c>
      <x:c r="D283" t="str">
        <x:v>Sample 282</x:v>
      </x:c>
      <x:c r="E283"/>
      <x:c r="F283"/>
      <x:c r="G283" t="n">
        <x:v>0</x:v>
      </x:c>
      <x:c r="H283" t="str"/>
    </x:row>
    <x:row r="284">
      <x:c r="A284" t="str">
        <x:v>True</x:v>
      </x:c>
      <x:c r="B284" t="str">
        <x:v>65280</x:v>
      </x:c>
      <x:c r="C284" t="str">
        <x:v>L19</x:v>
      </x:c>
      <x:c r="D284" t="str">
        <x:v>Sample 283</x:v>
      </x:c>
      <x:c r="E284"/>
      <x:c r="F284"/>
      <x:c r="G284" t="n">
        <x:v>0</x:v>
      </x:c>
      <x:c r="H284" t="str"/>
    </x:row>
    <x:row r="285">
      <x:c r="A285" t="str">
        <x:v>True</x:v>
      </x:c>
      <x:c r="B285" t="str">
        <x:v>65280</x:v>
      </x:c>
      <x:c r="C285" t="str">
        <x:v>L20</x:v>
      </x:c>
      <x:c r="D285" t="str">
        <x:v>Sample 284</x:v>
      </x:c>
      <x:c r="E285"/>
      <x:c r="F285"/>
      <x:c r="G285" t="n">
        <x:v>0</x:v>
      </x:c>
      <x:c r="H285" t="str"/>
    </x:row>
    <x:row r="286">
      <x:c r="A286" t="str">
        <x:v>True</x:v>
      </x:c>
      <x:c r="B286" t="str">
        <x:v>65280</x:v>
      </x:c>
      <x:c r="C286" t="str">
        <x:v>L21</x:v>
      </x:c>
      <x:c r="D286" t="str">
        <x:v>Sample 285</x:v>
      </x:c>
      <x:c r="E286"/>
      <x:c r="F286"/>
      <x:c r="G286" t="n">
        <x:v>0</x:v>
      </x:c>
      <x:c r="H286" t="str"/>
    </x:row>
    <x:row r="287">
      <x:c r="A287" t="str">
        <x:v>True</x:v>
      </x:c>
      <x:c r="B287" t="str">
        <x:v>65280</x:v>
      </x:c>
      <x:c r="C287" t="str">
        <x:v>L22</x:v>
      </x:c>
      <x:c r="D287" t="str">
        <x:v>Sample 286</x:v>
      </x:c>
      <x:c r="E287"/>
      <x:c r="F287"/>
      <x:c r="G287" t="n">
        <x:v>0</x:v>
      </x:c>
      <x:c r="H287" t="str"/>
    </x:row>
    <x:row r="288">
      <x:c r="A288" t="str">
        <x:v>True</x:v>
      </x:c>
      <x:c r="B288" t="str">
        <x:v>65280</x:v>
      </x:c>
      <x:c r="C288" t="str">
        <x:v>L23</x:v>
      </x:c>
      <x:c r="D288" t="str">
        <x:v>Sample 287</x:v>
      </x:c>
      <x:c r="E288"/>
      <x:c r="F288"/>
      <x:c r="G288" t="n">
        <x:v>0</x:v>
      </x:c>
      <x:c r="H288" t="str"/>
    </x:row>
    <x:row r="289">
      <x:c r="A289" t="str">
        <x:v>True</x:v>
      </x:c>
      <x:c r="B289" t="str">
        <x:v>65280</x:v>
      </x:c>
      <x:c r="C289" t="str">
        <x:v>L24</x:v>
      </x:c>
      <x:c r="D289" t="str">
        <x:v>Sample 288</x:v>
      </x:c>
      <x:c r="E289"/>
      <x:c r="F289"/>
      <x:c r="G289" t="n">
        <x:v>0</x:v>
      </x:c>
      <x:c r="H289" t="str"/>
    </x:row>
    <x:row r="290">
      <x:c r="A290" t="str">
        <x:v>True</x:v>
      </x:c>
      <x:c r="B290" t="str">
        <x:v>255</x:v>
      </x:c>
      <x:c r="C290" t="str">
        <x:v>M1</x:v>
      </x:c>
      <x:c r="D290" t="str">
        <x:v>Sample 289</x:v>
      </x:c>
      <x:c r="E290" t="n">
        <x:v>15.96</x:v>
      </x:c>
      <x:c r="F290"/>
      <x:c r="G290" t="n">
        <x:v>0</x:v>
      </x:c>
      <x:c r="H290" t="str"/>
    </x:row>
    <x:row r="291">
      <x:c r="A291" t="str">
        <x:v>True</x:v>
      </x:c>
      <x:c r="B291" t="str">
        <x:v>255</x:v>
      </x:c>
      <x:c r="C291" t="str">
        <x:v>M2</x:v>
      </x:c>
      <x:c r="D291" t="str">
        <x:v>Sample 290</x:v>
      </x:c>
      <x:c r="E291" t="n">
        <x:v>16.01</x:v>
      </x:c>
      <x:c r="F291"/>
      <x:c r="G291" t="n">
        <x:v>0</x:v>
      </x:c>
      <x:c r="H291" t="str"/>
    </x:row>
    <x:row r="292">
      <x:c r="A292" t="str">
        <x:v>True</x:v>
      </x:c>
      <x:c r="B292" t="str">
        <x:v>255</x:v>
      </x:c>
      <x:c r="C292" t="str">
        <x:v>M3</x:v>
      </x:c>
      <x:c r="D292" t="str">
        <x:v>Sample 291</x:v>
      </x:c>
      <x:c r="E292" t="n">
        <x:v>16.04</x:v>
      </x:c>
      <x:c r="F292"/>
      <x:c r="G292" t="n">
        <x:v>0</x:v>
      </x:c>
      <x:c r="H292" t="str"/>
    </x:row>
    <x:row r="293">
      <x:c r="A293" t="str">
        <x:v>True</x:v>
      </x:c>
      <x:c r="B293" t="str">
        <x:v>255</x:v>
      </x:c>
      <x:c r="C293" t="str">
        <x:v>M4</x:v>
      </x:c>
      <x:c r="D293" t="str">
        <x:v>Sample 292</x:v>
      </x:c>
      <x:c r="E293" t="n">
        <x:v>15.99</x:v>
      </x:c>
      <x:c r="F293"/>
      <x:c r="G293" t="n">
        <x:v>0</x:v>
      </x:c>
      <x:c r="H293" t="str"/>
    </x:row>
    <x:row r="294">
      <x:c r="A294" t="str">
        <x:v>True</x:v>
      </x:c>
      <x:c r="B294" t="str">
        <x:v>255</x:v>
      </x:c>
      <x:c r="C294" t="str">
        <x:v>M5</x:v>
      </x:c>
      <x:c r="D294" t="str">
        <x:v>Sample 293</x:v>
      </x:c>
      <x:c r="E294" t="n">
        <x:v>24.84</x:v>
      </x:c>
      <x:c r="F294"/>
      <x:c r="G294" t="n">
        <x:v>0</x:v>
      </x:c>
      <x:c r="H294" t="str"/>
    </x:row>
    <x:row r="295">
      <x:c r="A295" t="str">
        <x:v>True</x:v>
      </x:c>
      <x:c r="B295" t="str">
        <x:v>255</x:v>
      </x:c>
      <x:c r="C295" t="str">
        <x:v>M6</x:v>
      </x:c>
      <x:c r="D295" t="str">
        <x:v>Sample 294</x:v>
      </x:c>
      <x:c r="E295" t="n">
        <x:v>24.84</x:v>
      </x:c>
      <x:c r="F295"/>
      <x:c r="G295" t="n">
        <x:v>0</x:v>
      </x:c>
      <x:c r="H295" t="str"/>
    </x:row>
    <x:row r="296">
      <x:c r="A296" t="str">
        <x:v>True</x:v>
      </x:c>
      <x:c r="B296" t="str">
        <x:v>255</x:v>
      </x:c>
      <x:c r="C296" t="str">
        <x:v>M7</x:v>
      </x:c>
      <x:c r="D296" t="str">
        <x:v>Sample 295</x:v>
      </x:c>
      <x:c r="E296" t="n">
        <x:v>24.52</x:v>
      </x:c>
      <x:c r="F296"/>
      <x:c r="G296" t="n">
        <x:v>0</x:v>
      </x:c>
      <x:c r="H296" t="str"/>
    </x:row>
    <x:row r="297">
      <x:c r="A297" t="str">
        <x:v>True</x:v>
      </x:c>
      <x:c r="B297" t="str">
        <x:v>255</x:v>
      </x:c>
      <x:c r="C297" t="str">
        <x:v>M8</x:v>
      </x:c>
      <x:c r="D297" t="str">
        <x:v>Sample 296</x:v>
      </x:c>
      <x:c r="E297" t="n">
        <x:v>24.96</x:v>
      </x:c>
      <x:c r="F297"/>
      <x:c r="G297" t="n">
        <x:v>0</x:v>
      </x:c>
      <x:c r="H297" t="str"/>
    </x:row>
    <x:row r="298">
      <x:c r="A298" t="str">
        <x:v>True</x:v>
      </x:c>
      <x:c r="B298" t="str">
        <x:v>255</x:v>
      </x:c>
      <x:c r="C298" t="str">
        <x:v>M9</x:v>
      </x:c>
      <x:c r="D298" t="str">
        <x:v>Sample 297</x:v>
      </x:c>
      <x:c r="E298" t="n">
        <x:v>23.55</x:v>
      </x:c>
      <x:c r="F298"/>
      <x:c r="G298" t="n">
        <x:v>0</x:v>
      </x:c>
      <x:c r="H298" t="str"/>
    </x:row>
    <x:row r="299">
      <x:c r="A299" t="str">
        <x:v>True</x:v>
      </x:c>
      <x:c r="B299" t="str">
        <x:v>255</x:v>
      </x:c>
      <x:c r="C299" t="str">
        <x:v>M10</x:v>
      </x:c>
      <x:c r="D299" t="str">
        <x:v>Sample 298</x:v>
      </x:c>
      <x:c r="E299" t="n">
        <x:v>23.67</x:v>
      </x:c>
      <x:c r="F299"/>
      <x:c r="G299" t="n">
        <x:v>0</x:v>
      </x:c>
      <x:c r="H299" t="str"/>
    </x:row>
    <x:row r="300">
      <x:c r="A300" t="str">
        <x:v>True</x:v>
      </x:c>
      <x:c r="B300" t="str">
        <x:v>255</x:v>
      </x:c>
      <x:c r="C300" t="str">
        <x:v>M11</x:v>
      </x:c>
      <x:c r="D300" t="str">
        <x:v>Sample 299</x:v>
      </x:c>
      <x:c r="E300" t="n">
        <x:v>23.67</x:v>
      </x:c>
      <x:c r="F300"/>
      <x:c r="G300" t="n">
        <x:v>0</x:v>
      </x:c>
      <x:c r="H300" t="str"/>
    </x:row>
    <x:row r="301">
      <x:c r="A301" t="str">
        <x:v>True</x:v>
      </x:c>
      <x:c r="B301" t="str">
        <x:v>255</x:v>
      </x:c>
      <x:c r="C301" t="str">
        <x:v>M12</x:v>
      </x:c>
      <x:c r="D301" t="str">
        <x:v>Sample 300</x:v>
      </x:c>
      <x:c r="E301" t="n">
        <x:v>23.73</x:v>
      </x:c>
      <x:c r="F301"/>
      <x:c r="G301" t="n">
        <x:v>0</x:v>
      </x:c>
      <x:c r="H301" t="str"/>
    </x:row>
    <x:row r="302">
      <x:c r="A302" t="str">
        <x:v>True</x:v>
      </x:c>
      <x:c r="B302" t="str">
        <x:v>255</x:v>
      </x:c>
      <x:c r="C302" t="str">
        <x:v>M13</x:v>
      </x:c>
      <x:c r="D302" t="str">
        <x:v>Sample 301</x:v>
      </x:c>
      <x:c r="E302" t="n">
        <x:v>23.62</x:v>
      </x:c>
      <x:c r="F302"/>
      <x:c r="G302" t="n">
        <x:v>0</x:v>
      </x:c>
      <x:c r="H302" t="str"/>
    </x:row>
    <x:row r="303">
      <x:c r="A303" t="str">
        <x:v>True</x:v>
      </x:c>
      <x:c r="B303" t="str">
        <x:v>255</x:v>
      </x:c>
      <x:c r="C303" t="str">
        <x:v>M14</x:v>
      </x:c>
      <x:c r="D303" t="str">
        <x:v>Sample 302</x:v>
      </x:c>
      <x:c r="E303" t="n">
        <x:v>23.66</x:v>
      </x:c>
      <x:c r="F303"/>
      <x:c r="G303" t="n">
        <x:v>0</x:v>
      </x:c>
      <x:c r="H303" t="str"/>
    </x:row>
    <x:row r="304">
      <x:c r="A304" t="str">
        <x:v>True</x:v>
      </x:c>
      <x:c r="B304" t="str">
        <x:v>255</x:v>
      </x:c>
      <x:c r="C304" t="str">
        <x:v>M15</x:v>
      </x:c>
      <x:c r="D304" t="str">
        <x:v>Sample 303</x:v>
      </x:c>
      <x:c r="E304" t="n">
        <x:v>23.7</x:v>
      </x:c>
      <x:c r="F304"/>
      <x:c r="G304" t="n">
        <x:v>0</x:v>
      </x:c>
      <x:c r="H304" t="str"/>
    </x:row>
    <x:row r="305">
      <x:c r="A305" t="str">
        <x:v>True</x:v>
      </x:c>
      <x:c r="B305" t="str">
        <x:v>255</x:v>
      </x:c>
      <x:c r="C305" t="str">
        <x:v>M16</x:v>
      </x:c>
      <x:c r="D305" t="str">
        <x:v>Sample 304</x:v>
      </x:c>
      <x:c r="E305" t="n">
        <x:v>23.6</x:v>
      </x:c>
      <x:c r="F305"/>
      <x:c r="G305" t="n">
        <x:v>0</x:v>
      </x:c>
      <x:c r="H305" t="str"/>
    </x:row>
    <x:row r="306">
      <x:c r="A306" t="str">
        <x:v>True</x:v>
      </x:c>
      <x:c r="B306" t="str">
        <x:v>255</x:v>
      </x:c>
      <x:c r="C306" t="str">
        <x:v>M17</x:v>
      </x:c>
      <x:c r="D306" t="str">
        <x:v>Sample 305</x:v>
      </x:c>
      <x:c r="E306" t="n">
        <x:v>29.96</x:v>
      </x:c>
      <x:c r="F306"/>
      <x:c r="G306" t="n">
        <x:v>0</x:v>
      </x:c>
      <x:c r="H306" t="str"/>
    </x:row>
    <x:row r="307">
      <x:c r="A307" t="str">
        <x:v>True</x:v>
      </x:c>
      <x:c r="B307" t="str">
        <x:v>255</x:v>
      </x:c>
      <x:c r="C307" t="str">
        <x:v>M18</x:v>
      </x:c>
      <x:c r="D307" t="str">
        <x:v>Sample 306</x:v>
      </x:c>
      <x:c r="E307" t="n">
        <x:v>29.77</x:v>
      </x:c>
      <x:c r="F307"/>
      <x:c r="G307" t="n">
        <x:v>0</x:v>
      </x:c>
      <x:c r="H307" t="str"/>
    </x:row>
    <x:row r="308">
      <x:c r="A308" t="str">
        <x:v>True</x:v>
      </x:c>
      <x:c r="B308" t="str">
        <x:v>255</x:v>
      </x:c>
      <x:c r="C308" t="str">
        <x:v>M19</x:v>
      </x:c>
      <x:c r="D308" t="str">
        <x:v>Sample 307</x:v>
      </x:c>
      <x:c r="E308" t="n">
        <x:v>30.45</x:v>
      </x:c>
      <x:c r="F308"/>
      <x:c r="G308" t="n">
        <x:v>0</x:v>
      </x:c>
      <x:c r="H308" t="str"/>
    </x:row>
    <x:row r="309">
      <x:c r="A309" t="str">
        <x:v>True</x:v>
      </x:c>
      <x:c r="B309" t="str">
        <x:v>255</x:v>
      </x:c>
      <x:c r="C309" t="str">
        <x:v>M20</x:v>
      </x:c>
      <x:c r="D309" t="str">
        <x:v>Sample 308</x:v>
      </x:c>
      <x:c r="E309" t="n">
        <x:v>30.23</x:v>
      </x:c>
      <x:c r="F309"/>
      <x:c r="G309" t="n">
        <x:v>0</x:v>
      </x:c>
      <x:c r="H309" t="str"/>
    </x:row>
    <x:row r="310">
      <x:c r="A310" t="str">
        <x:v>True</x:v>
      </x:c>
      <x:c r="B310" t="str">
        <x:v>255</x:v>
      </x:c>
      <x:c r="C310" t="str">
        <x:v>M21</x:v>
      </x:c>
      <x:c r="D310" t="str">
        <x:v>Sample 309</x:v>
      </x:c>
      <x:c r="E310" t="n">
        <x:v>25.25</x:v>
      </x:c>
      <x:c r="F310"/>
      <x:c r="G310" t="n">
        <x:v>0</x:v>
      </x:c>
      <x:c r="H310" t="str"/>
    </x:row>
    <x:row r="311">
      <x:c r="A311" t="str">
        <x:v>True</x:v>
      </x:c>
      <x:c r="B311" t="str">
        <x:v>255</x:v>
      </x:c>
      <x:c r="C311" t="str">
        <x:v>M22</x:v>
      </x:c>
      <x:c r="D311" t="str">
        <x:v>Sample 310</x:v>
      </x:c>
      <x:c r="E311" t="n">
        <x:v>25.21</x:v>
      </x:c>
      <x:c r="F311"/>
      <x:c r="G311" t="n">
        <x:v>0</x:v>
      </x:c>
      <x:c r="H311" t="str"/>
    </x:row>
    <x:row r="312">
      <x:c r="A312" t="str">
        <x:v>True</x:v>
      </x:c>
      <x:c r="B312" t="str">
        <x:v>255</x:v>
      </x:c>
      <x:c r="C312" t="str">
        <x:v>M23</x:v>
      </x:c>
      <x:c r="D312" t="str">
        <x:v>Sample 311</x:v>
      </x:c>
      <x:c r="E312" t="n">
        <x:v>25.2</x:v>
      </x:c>
      <x:c r="F312"/>
      <x:c r="G312" t="n">
        <x:v>0</x:v>
      </x:c>
      <x:c r="H312" t="str"/>
    </x:row>
    <x:row r="313">
      <x:c r="A313" t="str">
        <x:v>True</x:v>
      </x:c>
      <x:c r="B313" t="str">
        <x:v>255</x:v>
      </x:c>
      <x:c r="C313" t="str">
        <x:v>M24</x:v>
      </x:c>
      <x:c r="D313" t="str">
        <x:v>Sample 312</x:v>
      </x:c>
      <x:c r="E313" t="n">
        <x:v>25.24</x:v>
      </x:c>
      <x:c r="F313"/>
      <x:c r="G313" t="n">
        <x:v>0</x:v>
      </x:c>
      <x:c r="H313" t="str"/>
    </x:row>
    <x:row r="314">
      <x:c r="A314" t="str">
        <x:v>True</x:v>
      </x:c>
      <x:c r="B314" t="str">
        <x:v>65280</x:v>
      </x:c>
      <x:c r="C314" t="str">
        <x:v>N1</x:v>
      </x:c>
      <x:c r="D314" t="str">
        <x:v>Sample 313</x:v>
      </x:c>
      <x:c r="E314"/>
      <x:c r="F314"/>
      <x:c r="G314" t="n">
        <x:v>0</x:v>
      </x:c>
      <x:c r="H314" t="str"/>
    </x:row>
    <x:row r="315">
      <x:c r="A315" t="str">
        <x:v>True</x:v>
      </x:c>
      <x:c r="B315" t="str">
        <x:v>65280</x:v>
      </x:c>
      <x:c r="C315" t="str">
        <x:v>N2</x:v>
      </x:c>
      <x:c r="D315" t="str">
        <x:v>Sample 314</x:v>
      </x:c>
      <x:c r="E315"/>
      <x:c r="F315"/>
      <x:c r="G315" t="n">
        <x:v>0</x:v>
      </x:c>
      <x:c r="H315" t="str"/>
    </x:row>
    <x:row r="316">
      <x:c r="A316" t="str">
        <x:v>True</x:v>
      </x:c>
      <x:c r="B316" t="str">
        <x:v>65280</x:v>
      </x:c>
      <x:c r="C316" t="str">
        <x:v>N3</x:v>
      </x:c>
      <x:c r="D316" t="str">
        <x:v>Sample 315</x:v>
      </x:c>
      <x:c r="E316"/>
      <x:c r="F316"/>
      <x:c r="G316" t="n">
        <x:v>0</x:v>
      </x:c>
      <x:c r="H316" t="str"/>
    </x:row>
    <x:row r="317">
      <x:c r="A317" t="str">
        <x:v>True</x:v>
      </x:c>
      <x:c r="B317" t="str">
        <x:v>65280</x:v>
      </x:c>
      <x:c r="C317" t="str">
        <x:v>N4</x:v>
      </x:c>
      <x:c r="D317" t="str">
        <x:v>Sample 316</x:v>
      </x:c>
      <x:c r="E317"/>
      <x:c r="F317"/>
      <x:c r="G317" t="n">
        <x:v>0</x:v>
      </x:c>
      <x:c r="H317" t="str"/>
    </x:row>
    <x:row r="318">
      <x:c r="A318" t="str">
        <x:v>True</x:v>
      </x:c>
      <x:c r="B318" t="str">
        <x:v>65280</x:v>
      </x:c>
      <x:c r="C318" t="str">
        <x:v>N5</x:v>
      </x:c>
      <x:c r="D318" t="str">
        <x:v>Sample 317</x:v>
      </x:c>
      <x:c r="E318"/>
      <x:c r="F318"/>
      <x:c r="G318" t="n">
        <x:v>0</x:v>
      </x:c>
      <x:c r="H318" t="str"/>
    </x:row>
    <x:row r="319">
      <x:c r="A319" t="str">
        <x:v>True</x:v>
      </x:c>
      <x:c r="B319" t="str">
        <x:v>65280</x:v>
      </x:c>
      <x:c r="C319" t="str">
        <x:v>N6</x:v>
      </x:c>
      <x:c r="D319" t="str">
        <x:v>Sample 318</x:v>
      </x:c>
      <x:c r="E319"/>
      <x:c r="F319"/>
      <x:c r="G319" t="n">
        <x:v>0</x:v>
      </x:c>
      <x:c r="H319" t="str"/>
    </x:row>
    <x:row r="320">
      <x:c r="A320" t="str">
        <x:v>True</x:v>
      </x:c>
      <x:c r="B320" t="str">
        <x:v>65280</x:v>
      </x:c>
      <x:c r="C320" t="str">
        <x:v>N7</x:v>
      </x:c>
      <x:c r="D320" t="str">
        <x:v>Sample 319</x:v>
      </x:c>
      <x:c r="E320"/>
      <x:c r="F320"/>
      <x:c r="G320" t="n">
        <x:v>0</x:v>
      </x:c>
      <x:c r="H320" t="str"/>
    </x:row>
    <x:row r="321">
      <x:c r="A321" t="str">
        <x:v>True</x:v>
      </x:c>
      <x:c r="B321" t="str">
        <x:v>65280</x:v>
      </x:c>
      <x:c r="C321" t="str">
        <x:v>N8</x:v>
      </x:c>
      <x:c r="D321" t="str">
        <x:v>Sample 320</x:v>
      </x:c>
      <x:c r="E321"/>
      <x:c r="F321"/>
      <x:c r="G321" t="n">
        <x:v>0</x:v>
      </x:c>
      <x:c r="H321" t="str"/>
    </x:row>
    <x:row r="322">
      <x:c r="A322" t="str">
        <x:v>True</x:v>
      </x:c>
      <x:c r="B322" t="str">
        <x:v>65280</x:v>
      </x:c>
      <x:c r="C322" t="str">
        <x:v>N9</x:v>
      </x:c>
      <x:c r="D322" t="str">
        <x:v>Sample 321</x:v>
      </x:c>
      <x:c r="E322"/>
      <x:c r="F322"/>
      <x:c r="G322" t="n">
        <x:v>0</x:v>
      </x:c>
      <x:c r="H322" t="str"/>
    </x:row>
    <x:row r="323">
      <x:c r="A323" t="str">
        <x:v>True</x:v>
      </x:c>
      <x:c r="B323" t="str">
        <x:v>65280</x:v>
      </x:c>
      <x:c r="C323" t="str">
        <x:v>N10</x:v>
      </x:c>
      <x:c r="D323" t="str">
        <x:v>Sample 322</x:v>
      </x:c>
      <x:c r="E323"/>
      <x:c r="F323"/>
      <x:c r="G323" t="n">
        <x:v>0</x:v>
      </x:c>
      <x:c r="H323" t="str"/>
    </x:row>
    <x:row r="324">
      <x:c r="A324" t="str">
        <x:v>True</x:v>
      </x:c>
      <x:c r="B324" t="str">
        <x:v>65280</x:v>
      </x:c>
      <x:c r="C324" t="str">
        <x:v>N11</x:v>
      </x:c>
      <x:c r="D324" t="str">
        <x:v>Sample 323</x:v>
      </x:c>
      <x:c r="E324"/>
      <x:c r="F324"/>
      <x:c r="G324" t="n">
        <x:v>0</x:v>
      </x:c>
      <x:c r="H324" t="str"/>
    </x:row>
    <x:row r="325">
      <x:c r="A325" t="str">
        <x:v>True</x:v>
      </x:c>
      <x:c r="B325" t="str">
        <x:v>65280</x:v>
      </x:c>
      <x:c r="C325" t="str">
        <x:v>N12</x:v>
      </x:c>
      <x:c r="D325" t="str">
        <x:v>Sample 324</x:v>
      </x:c>
      <x:c r="E325"/>
      <x:c r="F325"/>
      <x:c r="G325" t="n">
        <x:v>0</x:v>
      </x:c>
      <x:c r="H325" t="str"/>
    </x:row>
    <x:row r="326">
      <x:c r="A326" t="str">
        <x:v>True</x:v>
      </x:c>
      <x:c r="B326" t="str">
        <x:v>65280</x:v>
      </x:c>
      <x:c r="C326" t="str">
        <x:v>N13</x:v>
      </x:c>
      <x:c r="D326" t="str">
        <x:v>Sample 325</x:v>
      </x:c>
      <x:c r="E326"/>
      <x:c r="F326"/>
      <x:c r="G326" t="n">
        <x:v>0</x:v>
      </x:c>
      <x:c r="H326" t="str"/>
    </x:row>
    <x:row r="327">
      <x:c r="A327" t="str">
        <x:v>True</x:v>
      </x:c>
      <x:c r="B327" t="str">
        <x:v>65280</x:v>
      </x:c>
      <x:c r="C327" t="str">
        <x:v>N14</x:v>
      </x:c>
      <x:c r="D327" t="str">
        <x:v>Sample 326</x:v>
      </x:c>
      <x:c r="E327"/>
      <x:c r="F327"/>
      <x:c r="G327" t="n">
        <x:v>0</x:v>
      </x:c>
      <x:c r="H327" t="str"/>
    </x:row>
    <x:row r="328">
      <x:c r="A328" t="str">
        <x:v>True</x:v>
      </x:c>
      <x:c r="B328" t="str">
        <x:v>65280</x:v>
      </x:c>
      <x:c r="C328" t="str">
        <x:v>N15</x:v>
      </x:c>
      <x:c r="D328" t="str">
        <x:v>Sample 327</x:v>
      </x:c>
      <x:c r="E328"/>
      <x:c r="F328"/>
      <x:c r="G328" t="n">
        <x:v>0</x:v>
      </x:c>
      <x:c r="H328" t="str"/>
    </x:row>
    <x:row r="329">
      <x:c r="A329" t="str">
        <x:v>True</x:v>
      </x:c>
      <x:c r="B329" t="str">
        <x:v>65280</x:v>
      </x:c>
      <x:c r="C329" t="str">
        <x:v>N16</x:v>
      </x:c>
      <x:c r="D329" t="str">
        <x:v>Sample 328</x:v>
      </x:c>
      <x:c r="E329"/>
      <x:c r="F329"/>
      <x:c r="G329" t="n">
        <x:v>0</x:v>
      </x:c>
      <x:c r="H329" t="str"/>
    </x:row>
    <x:row r="330">
      <x:c r="A330" t="str">
        <x:v>True</x:v>
      </x:c>
      <x:c r="B330" t="str">
        <x:v>65280</x:v>
      </x:c>
      <x:c r="C330" t="str">
        <x:v>N17</x:v>
      </x:c>
      <x:c r="D330" t="str">
        <x:v>Sample 329</x:v>
      </x:c>
      <x:c r="E330"/>
      <x:c r="F330"/>
      <x:c r="G330" t="n">
        <x:v>0</x:v>
      </x:c>
      <x:c r="H330" t="str"/>
    </x:row>
    <x:row r="331">
      <x:c r="A331" t="str">
        <x:v>True</x:v>
      </x:c>
      <x:c r="B331" t="str">
        <x:v>65280</x:v>
      </x:c>
      <x:c r="C331" t="str">
        <x:v>N18</x:v>
      </x:c>
      <x:c r="D331" t="str">
        <x:v>Sample 330</x:v>
      </x:c>
      <x:c r="E331"/>
      <x:c r="F331"/>
      <x:c r="G331" t="n">
        <x:v>0</x:v>
      </x:c>
      <x:c r="H331" t="str"/>
    </x:row>
    <x:row r="332">
      <x:c r="A332" t="str">
        <x:v>True</x:v>
      </x:c>
      <x:c r="B332" t="str">
        <x:v>65280</x:v>
      </x:c>
      <x:c r="C332" t="str">
        <x:v>N19</x:v>
      </x:c>
      <x:c r="D332" t="str">
        <x:v>Sample 331</x:v>
      </x:c>
      <x:c r="E332"/>
      <x:c r="F332"/>
      <x:c r="G332" t="n">
        <x:v>0</x:v>
      </x:c>
      <x:c r="H332" t="str"/>
    </x:row>
    <x:row r="333">
      <x:c r="A333" t="str">
        <x:v>True</x:v>
      </x:c>
      <x:c r="B333" t="str">
        <x:v>65280</x:v>
      </x:c>
      <x:c r="C333" t="str">
        <x:v>N20</x:v>
      </x:c>
      <x:c r="D333" t="str">
        <x:v>Sample 332</x:v>
      </x:c>
      <x:c r="E333"/>
      <x:c r="F333"/>
      <x:c r="G333" t="n">
        <x:v>0</x:v>
      </x:c>
      <x:c r="H333" t="str"/>
    </x:row>
    <x:row r="334">
      <x:c r="A334" t="str">
        <x:v>True</x:v>
      </x:c>
      <x:c r="B334" t="str">
        <x:v>65280</x:v>
      </x:c>
      <x:c r="C334" t="str">
        <x:v>N21</x:v>
      </x:c>
      <x:c r="D334" t="str">
        <x:v>Sample 333</x:v>
      </x:c>
      <x:c r="E334"/>
      <x:c r="F334"/>
      <x:c r="G334" t="n">
        <x:v>0</x:v>
      </x:c>
      <x:c r="H334" t="str"/>
    </x:row>
    <x:row r="335">
      <x:c r="A335" t="str">
        <x:v>True</x:v>
      </x:c>
      <x:c r="B335" t="str">
        <x:v>65280</x:v>
      </x:c>
      <x:c r="C335" t="str">
        <x:v>N22</x:v>
      </x:c>
      <x:c r="D335" t="str">
        <x:v>Sample 334</x:v>
      </x:c>
      <x:c r="E335"/>
      <x:c r="F335"/>
      <x:c r="G335" t="n">
        <x:v>0</x:v>
      </x:c>
      <x:c r="H335" t="str"/>
    </x:row>
    <x:row r="336">
      <x:c r="A336" t="str">
        <x:v>True</x:v>
      </x:c>
      <x:c r="B336" t="str">
        <x:v>65280</x:v>
      </x:c>
      <x:c r="C336" t="str">
        <x:v>N23</x:v>
      </x:c>
      <x:c r="D336" t="str">
        <x:v>Sample 335</x:v>
      </x:c>
      <x:c r="E336"/>
      <x:c r="F336"/>
      <x:c r="G336" t="n">
        <x:v>0</x:v>
      </x:c>
      <x:c r="H336" t="str"/>
    </x:row>
    <x:row r="337">
      <x:c r="A337" t="str">
        <x:v>True</x:v>
      </x:c>
      <x:c r="B337" t="str">
        <x:v>65280</x:v>
      </x:c>
      <x:c r="C337" t="str">
        <x:v>N24</x:v>
      </x:c>
      <x:c r="D337" t="str">
        <x:v>Sample 336</x:v>
      </x:c>
      <x:c r="E337"/>
      <x:c r="F337"/>
      <x:c r="G337" t="n">
        <x:v>0</x:v>
      </x:c>
      <x:c r="H337" t="str"/>
    </x:row>
    <x:row r="338">
      <x:c r="A338" t="str">
        <x:v>True</x:v>
      </x:c>
      <x:c r="B338" t="str">
        <x:v>255</x:v>
      </x:c>
      <x:c r="C338" t="str">
        <x:v>O1</x:v>
      </x:c>
      <x:c r="D338" t="str">
        <x:v>Sample 337</x:v>
      </x:c>
      <x:c r="E338" t="n">
        <x:v>15.95</x:v>
      </x:c>
      <x:c r="F338"/>
      <x:c r="G338" t="n">
        <x:v>0</x:v>
      </x:c>
      <x:c r="H338" t="str"/>
    </x:row>
    <x:row r="339">
      <x:c r="A339" t="str">
        <x:v>True</x:v>
      </x:c>
      <x:c r="B339" t="str">
        <x:v>255</x:v>
      </x:c>
      <x:c r="C339" t="str">
        <x:v>O2</x:v>
      </x:c>
      <x:c r="D339" t="str">
        <x:v>Sample 338</x:v>
      </x:c>
      <x:c r="E339" t="n">
        <x:v>16.06</x:v>
      </x:c>
      <x:c r="F339"/>
      <x:c r="G339" t="n">
        <x:v>0</x:v>
      </x:c>
      <x:c r="H339" t="str"/>
    </x:row>
    <x:row r="340">
      <x:c r="A340" t="str">
        <x:v>True</x:v>
      </x:c>
      <x:c r="B340" t="str">
        <x:v>255</x:v>
      </x:c>
      <x:c r="C340" t="str">
        <x:v>O3</x:v>
      </x:c>
      <x:c r="D340" t="str">
        <x:v>Sample 339</x:v>
      </x:c>
      <x:c r="E340" t="n">
        <x:v>16.04</x:v>
      </x:c>
      <x:c r="F340"/>
      <x:c r="G340" t="n">
        <x:v>0</x:v>
      </x:c>
      <x:c r="H340" t="str"/>
    </x:row>
    <x:row r="341">
      <x:c r="A341" t="str">
        <x:v>True</x:v>
      </x:c>
      <x:c r="B341" t="str">
        <x:v>255</x:v>
      </x:c>
      <x:c r="C341" t="str">
        <x:v>O4</x:v>
      </x:c>
      <x:c r="D341" t="str">
        <x:v>Sample 340</x:v>
      </x:c>
      <x:c r="E341" t="n">
        <x:v>16.02</x:v>
      </x:c>
      <x:c r="F341"/>
      <x:c r="G341" t="n">
        <x:v>0</x:v>
      </x:c>
      <x:c r="H341" t="str"/>
    </x:row>
    <x:row r="342">
      <x:c r="A342" t="str">
        <x:v>True</x:v>
      </x:c>
      <x:c r="B342" t="str">
        <x:v>255</x:v>
      </x:c>
      <x:c r="C342" t="str">
        <x:v>O5</x:v>
      </x:c>
      <x:c r="D342" t="str">
        <x:v>Sample 341</x:v>
      </x:c>
      <x:c r="E342" t="n">
        <x:v>24.92</x:v>
      </x:c>
      <x:c r="F342"/>
      <x:c r="G342" t="n">
        <x:v>0</x:v>
      </x:c>
      <x:c r="H342" t="str"/>
    </x:row>
    <x:row r="343">
      <x:c r="A343" t="str">
        <x:v>True</x:v>
      </x:c>
      <x:c r="B343" t="str">
        <x:v>255</x:v>
      </x:c>
      <x:c r="C343" t="str">
        <x:v>O6</x:v>
      </x:c>
      <x:c r="D343" t="str">
        <x:v>Sample 342</x:v>
      </x:c>
      <x:c r="E343" t="n">
        <x:v>25.04</x:v>
      </x:c>
      <x:c r="F343"/>
      <x:c r="G343" t="n">
        <x:v>0</x:v>
      </x:c>
      <x:c r="H343" t="str"/>
    </x:row>
    <x:row r="344">
      <x:c r="A344" t="str">
        <x:v>True</x:v>
      </x:c>
      <x:c r="B344" t="str">
        <x:v>255</x:v>
      </x:c>
      <x:c r="C344" t="str">
        <x:v>O7</x:v>
      </x:c>
      <x:c r="D344" t="str">
        <x:v>Sample 343</x:v>
      </x:c>
      <x:c r="E344" t="n">
        <x:v>24.83</x:v>
      </x:c>
      <x:c r="F344"/>
      <x:c r="G344" t="n">
        <x:v>0</x:v>
      </x:c>
      <x:c r="H344" t="str"/>
    </x:row>
    <x:row r="345">
      <x:c r="A345" t="str">
        <x:v>True</x:v>
      </x:c>
      <x:c r="B345" t="str">
        <x:v>255</x:v>
      </x:c>
      <x:c r="C345" t="str">
        <x:v>O8</x:v>
      </x:c>
      <x:c r="D345" t="str">
        <x:v>Sample 344</x:v>
      </x:c>
      <x:c r="E345" t="n">
        <x:v>25.11</x:v>
      </x:c>
      <x:c r="F345"/>
      <x:c r="G345" t="n">
        <x:v>0</x:v>
      </x:c>
      <x:c r="H345" t="str"/>
    </x:row>
    <x:row r="346">
      <x:c r="A346" t="str">
        <x:v>True</x:v>
      </x:c>
      <x:c r="B346" t="str">
        <x:v>255</x:v>
      </x:c>
      <x:c r="C346" t="str">
        <x:v>O9</x:v>
      </x:c>
      <x:c r="D346" t="str">
        <x:v>Sample 345</x:v>
      </x:c>
      <x:c r="E346" t="n">
        <x:v>23.53</x:v>
      </x:c>
      <x:c r="F346"/>
      <x:c r="G346" t="n">
        <x:v>0</x:v>
      </x:c>
      <x:c r="H346" t="str"/>
    </x:row>
    <x:row r="347">
      <x:c r="A347" t="str">
        <x:v>True</x:v>
      </x:c>
      <x:c r="B347" t="str">
        <x:v>255</x:v>
      </x:c>
      <x:c r="C347" t="str">
        <x:v>O10</x:v>
      </x:c>
      <x:c r="D347" t="str">
        <x:v>Sample 346</x:v>
      </x:c>
      <x:c r="E347" t="n">
        <x:v>23.63</x:v>
      </x:c>
      <x:c r="F347"/>
      <x:c r="G347" t="n">
        <x:v>0</x:v>
      </x:c>
      <x:c r="H347" t="str"/>
    </x:row>
    <x:row r="348">
      <x:c r="A348" t="str">
        <x:v>True</x:v>
      </x:c>
      <x:c r="B348" t="str">
        <x:v>255</x:v>
      </x:c>
      <x:c r="C348" t="str">
        <x:v>O11</x:v>
      </x:c>
      <x:c r="D348" t="str">
        <x:v>Sample 347</x:v>
      </x:c>
      <x:c r="E348" t="n">
        <x:v>23.74</x:v>
      </x:c>
      <x:c r="F348"/>
      <x:c r="G348" t="n">
        <x:v>0</x:v>
      </x:c>
      <x:c r="H348" t="str"/>
    </x:row>
    <x:row r="349">
      <x:c r="A349" t="str">
        <x:v>True</x:v>
      </x:c>
      <x:c r="B349" t="str">
        <x:v>255</x:v>
      </x:c>
      <x:c r="C349" t="str">
        <x:v>O12</x:v>
      </x:c>
      <x:c r="D349" t="str">
        <x:v>Sample 348</x:v>
      </x:c>
      <x:c r="E349" t="n">
        <x:v>23.76</x:v>
      </x:c>
      <x:c r="F349"/>
      <x:c r="G349" t="n">
        <x:v>0</x:v>
      </x:c>
      <x:c r="H349" t="str"/>
    </x:row>
    <x:row r="350">
      <x:c r="A350" t="str">
        <x:v>True</x:v>
      </x:c>
      <x:c r="B350" t="str">
        <x:v>255</x:v>
      </x:c>
      <x:c r="C350" t="str">
        <x:v>O13</x:v>
      </x:c>
      <x:c r="D350" t="str">
        <x:v>Sample 349</x:v>
      </x:c>
      <x:c r="E350" t="n">
        <x:v>23.58</x:v>
      </x:c>
      <x:c r="F350"/>
      <x:c r="G350" t="n">
        <x:v>0</x:v>
      </x:c>
      <x:c r="H350" t="str"/>
    </x:row>
    <x:row r="351">
      <x:c r="A351" t="str">
        <x:v>True</x:v>
      </x:c>
      <x:c r="B351" t="str">
        <x:v>255</x:v>
      </x:c>
      <x:c r="C351" t="str">
        <x:v>O14</x:v>
      </x:c>
      <x:c r="D351" t="str">
        <x:v>Sample 350</x:v>
      </x:c>
      <x:c r="E351" t="n">
        <x:v>23.89</x:v>
      </x:c>
      <x:c r="F351"/>
      <x:c r="G351" t="n">
        <x:v>0</x:v>
      </x:c>
      <x:c r="H351" t="str"/>
    </x:row>
    <x:row r="352">
      <x:c r="A352" t="str">
        <x:v>True</x:v>
      </x:c>
      <x:c r="B352" t="str">
        <x:v>255</x:v>
      </x:c>
      <x:c r="C352" t="str">
        <x:v>O15</x:v>
      </x:c>
      <x:c r="D352" t="str">
        <x:v>Sample 351</x:v>
      </x:c>
      <x:c r="E352" t="n">
        <x:v>23.75</x:v>
      </x:c>
      <x:c r="F352"/>
      <x:c r="G352" t="n">
        <x:v>0</x:v>
      </x:c>
      <x:c r="H352" t="str"/>
    </x:row>
    <x:row r="353">
      <x:c r="A353" t="str">
        <x:v>True</x:v>
      </x:c>
      <x:c r="B353" t="str">
        <x:v>255</x:v>
      </x:c>
      <x:c r="C353" t="str">
        <x:v>O16</x:v>
      </x:c>
      <x:c r="D353" t="str">
        <x:v>Sample 352</x:v>
      </x:c>
      <x:c r="E353" t="n">
        <x:v>23.71</x:v>
      </x:c>
      <x:c r="F353"/>
      <x:c r="G353" t="n">
        <x:v>0</x:v>
      </x:c>
      <x:c r="H353" t="str"/>
    </x:row>
    <x:row r="354">
      <x:c r="A354" t="str">
        <x:v>True</x:v>
      </x:c>
      <x:c r="B354" t="str">
        <x:v>255</x:v>
      </x:c>
      <x:c r="C354" t="str">
        <x:v>O17</x:v>
      </x:c>
      <x:c r="D354" t="str">
        <x:v>Sample 353</x:v>
      </x:c>
      <x:c r="E354" t="n">
        <x:v>28.83</x:v>
      </x:c>
      <x:c r="F354"/>
      <x:c r="G354" t="n">
        <x:v>0</x:v>
      </x:c>
      <x:c r="H354" t="str"/>
    </x:row>
    <x:row r="355">
      <x:c r="A355" t="str">
        <x:v>True</x:v>
      </x:c>
      <x:c r="B355" t="str">
        <x:v>255</x:v>
      </x:c>
      <x:c r="C355" t="str">
        <x:v>O18</x:v>
      </x:c>
      <x:c r="D355" t="str">
        <x:v>Sample 354</x:v>
      </x:c>
      <x:c r="E355" t="n">
        <x:v>28.91</x:v>
      </x:c>
      <x:c r="F355"/>
      <x:c r="G355" t="n">
        <x:v>0</x:v>
      </x:c>
      <x:c r="H355" t="str"/>
    </x:row>
    <x:row r="356">
      <x:c r="A356" t="str">
        <x:v>True</x:v>
      </x:c>
      <x:c r="B356" t="str">
        <x:v>255</x:v>
      </x:c>
      <x:c r="C356" t="str">
        <x:v>O19</x:v>
      </x:c>
      <x:c r="D356" t="str">
        <x:v>Sample 355</x:v>
      </x:c>
      <x:c r="E356" t="n">
        <x:v>29.16</x:v>
      </x:c>
      <x:c r="F356"/>
      <x:c r="G356" t="n">
        <x:v>0</x:v>
      </x:c>
      <x:c r="H356" t="str"/>
    </x:row>
    <x:row r="357">
      <x:c r="A357" t="str">
        <x:v>True</x:v>
      </x:c>
      <x:c r="B357" t="str">
        <x:v>255</x:v>
      </x:c>
      <x:c r="C357" t="str">
        <x:v>O20</x:v>
      </x:c>
      <x:c r="D357" t="str">
        <x:v>Sample 356</x:v>
      </x:c>
      <x:c r="E357" t="n">
        <x:v>29.02</x:v>
      </x:c>
      <x:c r="F357"/>
      <x:c r="G357" t="n">
        <x:v>0</x:v>
      </x:c>
      <x:c r="H357" t="str"/>
    </x:row>
    <x:row r="358">
      <x:c r="A358" t="str">
        <x:v>True</x:v>
      </x:c>
      <x:c r="B358" t="str">
        <x:v>255</x:v>
      </x:c>
      <x:c r="C358" t="str">
        <x:v>O21</x:v>
      </x:c>
      <x:c r="D358" t="str">
        <x:v>Sample 357</x:v>
      </x:c>
      <x:c r="E358" t="n">
        <x:v>25.15</x:v>
      </x:c>
      <x:c r="F358"/>
      <x:c r="G358" t="n">
        <x:v>0</x:v>
      </x:c>
      <x:c r="H358" t="str"/>
    </x:row>
    <x:row r="359">
      <x:c r="A359" t="str">
        <x:v>True</x:v>
      </x:c>
      <x:c r="B359" t="str">
        <x:v>255</x:v>
      </x:c>
      <x:c r="C359" t="str">
        <x:v>O22</x:v>
      </x:c>
      <x:c r="D359" t="str">
        <x:v>Sample 358</x:v>
      </x:c>
      <x:c r="E359" t="n">
        <x:v>25.47</x:v>
      </x:c>
      <x:c r="F359"/>
      <x:c r="G359" t="n">
        <x:v>0</x:v>
      </x:c>
      <x:c r="H359" t="str"/>
    </x:row>
    <x:row r="360">
      <x:c r="A360" t="str">
        <x:v>True</x:v>
      </x:c>
      <x:c r="B360" t="str">
        <x:v>255</x:v>
      </x:c>
      <x:c r="C360" t="str">
        <x:v>O23</x:v>
      </x:c>
      <x:c r="D360" t="str">
        <x:v>Sample 359</x:v>
      </x:c>
      <x:c r="E360" t="n">
        <x:v>25.24</x:v>
      </x:c>
      <x:c r="F360"/>
      <x:c r="G360" t="n">
        <x:v>0</x:v>
      </x:c>
      <x:c r="H360" t="str"/>
    </x:row>
    <x:row r="361">
      <x:c r="A361" t="str">
        <x:v>True</x:v>
      </x:c>
      <x:c r="B361" t="str">
        <x:v>255</x:v>
      </x:c>
      <x:c r="C361" t="str">
        <x:v>O24</x:v>
      </x:c>
      <x:c r="D361" t="str">
        <x:v>Sample 360</x:v>
      </x:c>
      <x:c r="E361" t="n">
        <x:v>25.09</x:v>
      </x:c>
      <x:c r="F361"/>
      <x:c r="G361" t="n">
        <x:v>0</x:v>
      </x:c>
      <x:c r="H361" t="str"/>
    </x:row>
    <x:row r="362">
      <x:c r="A362" t="str">
        <x:v>True</x:v>
      </x:c>
      <x:c r="B362" t="str">
        <x:v>65280</x:v>
      </x:c>
      <x:c r="C362" t="str">
        <x:v>P1</x:v>
      </x:c>
      <x:c r="D362" t="str">
        <x:v>Sample 361</x:v>
      </x:c>
      <x:c r="E362"/>
      <x:c r="F362"/>
      <x:c r="G362" t="n">
        <x:v>0</x:v>
      </x:c>
      <x:c r="H362" t="str"/>
    </x:row>
    <x:row r="363">
      <x:c r="A363" t="str">
        <x:v>True</x:v>
      </x:c>
      <x:c r="B363" t="str">
        <x:v>65280</x:v>
      </x:c>
      <x:c r="C363" t="str">
        <x:v>P2</x:v>
      </x:c>
      <x:c r="D363" t="str">
        <x:v>Sample 362</x:v>
      </x:c>
      <x:c r="E363"/>
      <x:c r="F363"/>
      <x:c r="G363" t="n">
        <x:v>0</x:v>
      </x:c>
      <x:c r="H363" t="str"/>
    </x:row>
    <x:row r="364">
      <x:c r="A364" t="str">
        <x:v>True</x:v>
      </x:c>
      <x:c r="B364" t="str">
        <x:v>65280</x:v>
      </x:c>
      <x:c r="C364" t="str">
        <x:v>P3</x:v>
      </x:c>
      <x:c r="D364" t="str">
        <x:v>Sample 363</x:v>
      </x:c>
      <x:c r="E364"/>
      <x:c r="F364"/>
      <x:c r="G364" t="n">
        <x:v>0</x:v>
      </x:c>
      <x:c r="H364" t="str"/>
    </x:row>
    <x:row r="365">
      <x:c r="A365" t="str">
        <x:v>True</x:v>
      </x:c>
      <x:c r="B365" t="str">
        <x:v>65280</x:v>
      </x:c>
      <x:c r="C365" t="str">
        <x:v>P4</x:v>
      </x:c>
      <x:c r="D365" t="str">
        <x:v>Sample 364</x:v>
      </x:c>
      <x:c r="E365"/>
      <x:c r="F365"/>
      <x:c r="G365" t="n">
        <x:v>0</x:v>
      </x:c>
      <x:c r="H365" t="str"/>
    </x:row>
    <x:row r="366">
      <x:c r="A366" t="str">
        <x:v>True</x:v>
      </x:c>
      <x:c r="B366" t="str">
        <x:v>65280</x:v>
      </x:c>
      <x:c r="C366" t="str">
        <x:v>P5</x:v>
      </x:c>
      <x:c r="D366" t="str">
        <x:v>Sample 365</x:v>
      </x:c>
      <x:c r="E366"/>
      <x:c r="F366"/>
      <x:c r="G366" t="n">
        <x:v>0</x:v>
      </x:c>
      <x:c r="H366" t="str"/>
    </x:row>
    <x:row r="367">
      <x:c r="A367" t="str">
        <x:v>True</x:v>
      </x:c>
      <x:c r="B367" t="str">
        <x:v>65280</x:v>
      </x:c>
      <x:c r="C367" t="str">
        <x:v>P6</x:v>
      </x:c>
      <x:c r="D367" t="str">
        <x:v>Sample 366</x:v>
      </x:c>
      <x:c r="E367"/>
      <x:c r="F367"/>
      <x:c r="G367" t="n">
        <x:v>0</x:v>
      </x:c>
      <x:c r="H367" t="str"/>
    </x:row>
    <x:row r="368">
      <x:c r="A368" t="str">
        <x:v>True</x:v>
      </x:c>
      <x:c r="B368" t="str">
        <x:v>65280</x:v>
      </x:c>
      <x:c r="C368" t="str">
        <x:v>P7</x:v>
      </x:c>
      <x:c r="D368" t="str">
        <x:v>Sample 367</x:v>
      </x:c>
      <x:c r="E368"/>
      <x:c r="F368"/>
      <x:c r="G368" t="n">
        <x:v>0</x:v>
      </x:c>
      <x:c r="H368" t="str"/>
    </x:row>
    <x:row r="369">
      <x:c r="A369" t="str">
        <x:v>True</x:v>
      </x:c>
      <x:c r="B369" t="str">
        <x:v>65280</x:v>
      </x:c>
      <x:c r="C369" t="str">
        <x:v>P8</x:v>
      </x:c>
      <x:c r="D369" t="str">
        <x:v>Sample 368</x:v>
      </x:c>
      <x:c r="E369"/>
      <x:c r="F369"/>
      <x:c r="G369" t="n">
        <x:v>0</x:v>
      </x:c>
      <x:c r="H369" t="str"/>
    </x:row>
    <x:row r="370">
      <x:c r="A370" t="str">
        <x:v>True</x:v>
      </x:c>
      <x:c r="B370" t="str">
        <x:v>65280</x:v>
      </x:c>
      <x:c r="C370" t="str">
        <x:v>P9</x:v>
      </x:c>
      <x:c r="D370" t="str">
        <x:v>Sample 369</x:v>
      </x:c>
      <x:c r="E370"/>
      <x:c r="F370"/>
      <x:c r="G370" t="n">
        <x:v>0</x:v>
      </x:c>
      <x:c r="H370" t="str"/>
    </x:row>
    <x:row r="371">
      <x:c r="A371" t="str">
        <x:v>True</x:v>
      </x:c>
      <x:c r="B371" t="str">
        <x:v>65280</x:v>
      </x:c>
      <x:c r="C371" t="str">
        <x:v>P10</x:v>
      </x:c>
      <x:c r="D371" t="str">
        <x:v>Sample 370</x:v>
      </x:c>
      <x:c r="E371"/>
      <x:c r="F371"/>
      <x:c r="G371" t="n">
        <x:v>0</x:v>
      </x:c>
      <x:c r="H371" t="str"/>
    </x:row>
    <x:row r="372">
      <x:c r="A372" t="str">
        <x:v>True</x:v>
      </x:c>
      <x:c r="B372" t="str">
        <x:v>65280</x:v>
      </x:c>
      <x:c r="C372" t="str">
        <x:v>P11</x:v>
      </x:c>
      <x:c r="D372" t="str">
        <x:v>Sample 371</x:v>
      </x:c>
      <x:c r="E372"/>
      <x:c r="F372"/>
      <x:c r="G372" t="n">
        <x:v>0</x:v>
      </x:c>
      <x:c r="H372" t="str"/>
    </x:row>
    <x:row r="373">
      <x:c r="A373" t="str">
        <x:v>True</x:v>
      </x:c>
      <x:c r="B373" t="str">
        <x:v>65280</x:v>
      </x:c>
      <x:c r="C373" t="str">
        <x:v>P12</x:v>
      </x:c>
      <x:c r="D373" t="str">
        <x:v>Sample 372</x:v>
      </x:c>
      <x:c r="E373"/>
      <x:c r="F373"/>
      <x:c r="G373" t="n">
        <x:v>0</x:v>
      </x:c>
      <x:c r="H373" t="str"/>
    </x:row>
    <x:row r="374">
      <x:c r="A374" t="str">
        <x:v>True</x:v>
      </x:c>
      <x:c r="B374" t="str">
        <x:v>65280</x:v>
      </x:c>
      <x:c r="C374" t="str">
        <x:v>P13</x:v>
      </x:c>
      <x:c r="D374" t="str">
        <x:v>Sample 373</x:v>
      </x:c>
      <x:c r="E374"/>
      <x:c r="F374"/>
      <x:c r="G374" t="n">
        <x:v>0</x:v>
      </x:c>
      <x:c r="H374" t="str"/>
    </x:row>
    <x:row r="375">
      <x:c r="A375" t="str">
        <x:v>True</x:v>
      </x:c>
      <x:c r="B375" t="str">
        <x:v>65280</x:v>
      </x:c>
      <x:c r="C375" t="str">
        <x:v>P14</x:v>
      </x:c>
      <x:c r="D375" t="str">
        <x:v>Sample 374</x:v>
      </x:c>
      <x:c r="E375"/>
      <x:c r="F375"/>
      <x:c r="G375" t="n">
        <x:v>0</x:v>
      </x:c>
      <x:c r="H375" t="str"/>
    </x:row>
    <x:row r="376">
      <x:c r="A376" t="str">
        <x:v>True</x:v>
      </x:c>
      <x:c r="B376" t="str">
        <x:v>65280</x:v>
      </x:c>
      <x:c r="C376" t="str">
        <x:v>P15</x:v>
      </x:c>
      <x:c r="D376" t="str">
        <x:v>Sample 375</x:v>
      </x:c>
      <x:c r="E376"/>
      <x:c r="F376"/>
      <x:c r="G376" t="n">
        <x:v>0</x:v>
      </x:c>
      <x:c r="H376" t="str"/>
    </x:row>
    <x:row r="377">
      <x:c r="A377" t="str">
        <x:v>True</x:v>
      </x:c>
      <x:c r="B377" t="str">
        <x:v>65280</x:v>
      </x:c>
      <x:c r="C377" t="str">
        <x:v>P16</x:v>
      </x:c>
      <x:c r="D377" t="str">
        <x:v>Sample 376</x:v>
      </x:c>
      <x:c r="E377"/>
      <x:c r="F377"/>
      <x:c r="G377" t="n">
        <x:v>0</x:v>
      </x:c>
      <x:c r="H377" t="str"/>
    </x:row>
    <x:row r="378">
      <x:c r="A378" t="str">
        <x:v>True</x:v>
      </x:c>
      <x:c r="B378" t="str">
        <x:v>65280</x:v>
      </x:c>
      <x:c r="C378" t="str">
        <x:v>P17</x:v>
      </x:c>
      <x:c r="D378" t="str">
        <x:v>Sample 377</x:v>
      </x:c>
      <x:c r="E378"/>
      <x:c r="F378"/>
      <x:c r="G378" t="n">
        <x:v>0</x:v>
      </x:c>
      <x:c r="H378" t="str"/>
    </x:row>
    <x:row r="379">
      <x:c r="A379" t="str">
        <x:v>True</x:v>
      </x:c>
      <x:c r="B379" t="str">
        <x:v>65280</x:v>
      </x:c>
      <x:c r="C379" t="str">
        <x:v>P18</x:v>
      </x:c>
      <x:c r="D379" t="str">
        <x:v>Sample 378</x:v>
      </x:c>
      <x:c r="E379"/>
      <x:c r="F379"/>
      <x:c r="G379" t="n">
        <x:v>0</x:v>
      </x:c>
      <x:c r="H379" t="str"/>
    </x:row>
    <x:row r="380">
      <x:c r="A380" t="str">
        <x:v>True</x:v>
      </x:c>
      <x:c r="B380" t="str">
        <x:v>65280</x:v>
      </x:c>
      <x:c r="C380" t="str">
        <x:v>P19</x:v>
      </x:c>
      <x:c r="D380" t="str">
        <x:v>Sample 379</x:v>
      </x:c>
      <x:c r="E380"/>
      <x:c r="F380"/>
      <x:c r="G380" t="n">
        <x:v>0</x:v>
      </x:c>
      <x:c r="H380" t="str"/>
    </x:row>
    <x:row r="381">
      <x:c r="A381" t="str">
        <x:v>True</x:v>
      </x:c>
      <x:c r="B381" t="str">
        <x:v>65280</x:v>
      </x:c>
      <x:c r="C381" t="str">
        <x:v>P20</x:v>
      </x:c>
      <x:c r="D381" t="str">
        <x:v>Sample 380</x:v>
      </x:c>
      <x:c r="E381"/>
      <x:c r="F381"/>
      <x:c r="G381" t="n">
        <x:v>0</x:v>
      </x:c>
      <x:c r="H381" t="str"/>
    </x:row>
    <x:row r="382">
      <x:c r="A382" t="str">
        <x:v>True</x:v>
      </x:c>
      <x:c r="B382" t="str">
        <x:v>65280</x:v>
      </x:c>
      <x:c r="C382" t="str">
        <x:v>P21</x:v>
      </x:c>
      <x:c r="D382" t="str">
        <x:v>Sample 381</x:v>
      </x:c>
      <x:c r="E382"/>
      <x:c r="F382"/>
      <x:c r="G382" t="n">
        <x:v>0</x:v>
      </x:c>
      <x:c r="H382" t="str"/>
    </x:row>
    <x:row r="383">
      <x:c r="A383" t="str">
        <x:v>True</x:v>
      </x:c>
      <x:c r="B383" t="str">
        <x:v>65280</x:v>
      </x:c>
      <x:c r="C383" t="str">
        <x:v>P22</x:v>
      </x:c>
      <x:c r="D383" t="str">
        <x:v>Sample 382</x:v>
      </x:c>
      <x:c r="E383"/>
      <x:c r="F383"/>
      <x:c r="G383" t="n">
        <x:v>0</x:v>
      </x:c>
      <x:c r="H383" t="str"/>
    </x:row>
    <x:row r="384">
      <x:c r="A384" t="str">
        <x:v>True</x:v>
      </x:c>
      <x:c r="B384" t="str">
        <x:v>65280</x:v>
      </x:c>
      <x:c r="C384" t="str">
        <x:v>P23</x:v>
      </x:c>
      <x:c r="D384" t="str">
        <x:v>Sample 383</x:v>
      </x:c>
      <x:c r="E384"/>
      <x:c r="F384"/>
      <x:c r="G384" t="n">
        <x:v>0</x:v>
      </x:c>
      <x:c r="H384" t="str"/>
    </x:row>
    <x:row r="385">
      <x:c r="A385" t="str">
        <x:v>True</x:v>
      </x:c>
      <x:c r="B385" t="str">
        <x:v>65280</x:v>
      </x:c>
      <x:c r="C385" t="str">
        <x:v>P24</x:v>
      </x:c>
      <x:c r="D385" t="str">
        <x:v>Sample 384</x:v>
      </x:c>
      <x:c r="E385"/>
      <x:c r="F385"/>
      <x:c r="G385" t="n">
        <x:v>0</x:v>
      </x:c>
      <x:c r="H385" t="str"/>
    </x:row>
  </x:sheetData>
  <x:pageMargins left="0.7" right="0.7" top="0.75" bottom="0.75" header="0.3" footer="0.3"/>
  <x:tableParts count="1">
    <x:tablePart xmlns:r="http://schemas.openxmlformats.org/officeDocument/2006/relationships" r:id="R26c8292d87c648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2" t="str">
        <x:v>Include</x:v>
      </x:c>
      <x:c r="B1" s="2" t="str">
        <x:v>Color</x:v>
      </x:c>
      <x:c r="C1" s="2" t="str">
        <x:v>Pos</x:v>
      </x:c>
      <x:c r="D1" s="2" t="str">
        <x:v>Name</x:v>
      </x:c>
      <x:c r="E1" s="2" t="str">
        <x:v>Tm1</x:v>
      </x:c>
      <x:c r="F1" s="2" t="str">
        <x:v>Tm2</x:v>
      </x:c>
      <x:c r="G1" s="2" t="str">
        <x:v>Status</x:v>
      </x:c>
    </x:row>
    <x:row r="2">
      <x:c r="A2" t="str">
        <x:v>True</x:v>
      </x:c>
      <x:c r="B2" t="str">
        <x:v>255</x:v>
      </x:c>
      <x:c r="C2" t="str">
        <x:v>A1</x:v>
      </x:c>
      <x:c r="D2" t="str">
        <x:v>Sample 1</x:v>
      </x:c>
      <x:c r="E2" t="n">
        <x:v>85.94</x:v>
      </x:c>
      <x:c r="F2"/>
      <x:c r="G2" t="str"/>
    </x:row>
    <x:row r="3">
      <x:c r="A3" t="str">
        <x:v>True</x:v>
      </x:c>
      <x:c r="B3" t="str">
        <x:v>255</x:v>
      </x:c>
      <x:c r="C3" t="str">
        <x:v>A2</x:v>
      </x:c>
      <x:c r="D3" t="str">
        <x:v>Sample 2</x:v>
      </x:c>
      <x:c r="E3" t="n">
        <x:v>85.99</x:v>
      </x:c>
      <x:c r="F3"/>
      <x:c r="G3" t="str"/>
    </x:row>
    <x:row r="4">
      <x:c r="A4" t="str">
        <x:v>True</x:v>
      </x:c>
      <x:c r="B4" t="str">
        <x:v>255</x:v>
      </x:c>
      <x:c r="C4" t="str">
        <x:v>A3</x:v>
      </x:c>
      <x:c r="D4" t="str">
        <x:v>Sample 3</x:v>
      </x:c>
      <x:c r="E4" t="n">
        <x:v>85.99</x:v>
      </x:c>
      <x:c r="F4"/>
      <x:c r="G4" t="str"/>
    </x:row>
    <x:row r="5">
      <x:c r="A5" t="str">
        <x:v>True</x:v>
      </x:c>
      <x:c r="B5" t="str">
        <x:v>255</x:v>
      </x:c>
      <x:c r="C5" t="str">
        <x:v>A4</x:v>
      </x:c>
      <x:c r="D5" t="str">
        <x:v>Sample 4</x:v>
      </x:c>
      <x:c r="E5" t="n">
        <x:v>86.02</x:v>
      </x:c>
      <x:c r="F5"/>
      <x:c r="G5" t="str"/>
    </x:row>
    <x:row r="6">
      <x:c r="A6" t="str">
        <x:v>True</x:v>
      </x:c>
      <x:c r="B6" t="str">
        <x:v>255</x:v>
      </x:c>
      <x:c r="C6" t="str">
        <x:v>A5</x:v>
      </x:c>
      <x:c r="D6" t="str">
        <x:v>Sample 5</x:v>
      </x:c>
      <x:c r="E6" t="n">
        <x:v>80.26</x:v>
      </x:c>
      <x:c r="F6"/>
      <x:c r="G6" t="str"/>
    </x:row>
    <x:row r="7">
      <x:c r="A7" t="str">
        <x:v>True</x:v>
      </x:c>
      <x:c r="B7" t="str">
        <x:v>255</x:v>
      </x:c>
      <x:c r="C7" t="str">
        <x:v>A6</x:v>
      </x:c>
      <x:c r="D7" t="str">
        <x:v>Sample 6</x:v>
      </x:c>
      <x:c r="E7" t="n">
        <x:v>80.27</x:v>
      </x:c>
      <x:c r="F7"/>
      <x:c r="G7" t="str"/>
    </x:row>
    <x:row r="8">
      <x:c r="A8" t="str">
        <x:v>True</x:v>
      </x:c>
      <x:c r="B8" t="str">
        <x:v>255</x:v>
      </x:c>
      <x:c r="C8" t="str">
        <x:v>A7</x:v>
      </x:c>
      <x:c r="D8" t="str">
        <x:v>Sample 7</x:v>
      </x:c>
      <x:c r="E8" t="n">
        <x:v>80.25</x:v>
      </x:c>
      <x:c r="F8"/>
      <x:c r="G8" t="str"/>
    </x:row>
    <x:row r="9">
      <x:c r="A9" t="str">
        <x:v>True</x:v>
      </x:c>
      <x:c r="B9" t="str">
        <x:v>255</x:v>
      </x:c>
      <x:c r="C9" t="str">
        <x:v>A8</x:v>
      </x:c>
      <x:c r="D9" t="str">
        <x:v>Sample 8</x:v>
      </x:c>
      <x:c r="E9" t="n">
        <x:v>80.24</x:v>
      </x:c>
      <x:c r="F9"/>
      <x:c r="G9" t="str"/>
    </x:row>
    <x:row r="10">
      <x:c r="A10" t="str">
        <x:v>True</x:v>
      </x:c>
      <x:c r="B10" t="str">
        <x:v>255</x:v>
      </x:c>
      <x:c r="C10" t="str">
        <x:v>A9</x:v>
      </x:c>
      <x:c r="D10" t="str">
        <x:v>Sample 9</x:v>
      </x:c>
      <x:c r="E10" t="n">
        <x:v>79.25</x:v>
      </x:c>
      <x:c r="F10"/>
      <x:c r="G10" t="str"/>
    </x:row>
    <x:row r="11">
      <x:c r="A11" t="str">
        <x:v>True</x:v>
      </x:c>
      <x:c r="B11" t="str">
        <x:v>255</x:v>
      </x:c>
      <x:c r="C11" t="str">
        <x:v>A10</x:v>
      </x:c>
      <x:c r="D11" t="str">
        <x:v>Sample 10</x:v>
      </x:c>
      <x:c r="E11" t="n">
        <x:v>79.35</x:v>
      </x:c>
      <x:c r="F11"/>
      <x:c r="G11" t="str"/>
    </x:row>
    <x:row r="12">
      <x:c r="A12" t="str">
        <x:v>True</x:v>
      </x:c>
      <x:c r="B12" t="str">
        <x:v>255</x:v>
      </x:c>
      <x:c r="C12" t="str">
        <x:v>A11</x:v>
      </x:c>
      <x:c r="D12" t="str">
        <x:v>Sample 11</x:v>
      </x:c>
      <x:c r="E12" t="n">
        <x:v>79.34</x:v>
      </x:c>
      <x:c r="F12"/>
      <x:c r="G12" t="str"/>
    </x:row>
    <x:row r="13">
      <x:c r="A13" t="str">
        <x:v>True</x:v>
      </x:c>
      <x:c r="B13" t="str">
        <x:v>255</x:v>
      </x:c>
      <x:c r="C13" t="str">
        <x:v>A12</x:v>
      </x:c>
      <x:c r="D13" t="str">
        <x:v>Sample 12</x:v>
      </x:c>
      <x:c r="E13" t="n">
        <x:v>79.34</x:v>
      </x:c>
      <x:c r="F13"/>
      <x:c r="G13" t="str"/>
    </x:row>
    <x:row r="14">
      <x:c r="A14" t="str">
        <x:v>True</x:v>
      </x:c>
      <x:c r="B14" t="str">
        <x:v>255</x:v>
      </x:c>
      <x:c r="C14" t="str">
        <x:v>A13</x:v>
      </x:c>
      <x:c r="D14" t="str">
        <x:v>Sample 13</x:v>
      </x:c>
      <x:c r="E14" t="n">
        <x:v>83.59</x:v>
      </x:c>
      <x:c r="F14"/>
      <x:c r="G14" t="str"/>
    </x:row>
    <x:row r="15">
      <x:c r="A15" t="str">
        <x:v>True</x:v>
      </x:c>
      <x:c r="B15" t="str">
        <x:v>255</x:v>
      </x:c>
      <x:c r="C15" t="str">
        <x:v>A14</x:v>
      </x:c>
      <x:c r="D15" t="str">
        <x:v>Sample 14</x:v>
      </x:c>
      <x:c r="E15" t="n">
        <x:v>83.75</x:v>
      </x:c>
      <x:c r="F15"/>
      <x:c r="G15" t="str"/>
    </x:row>
    <x:row r="16">
      <x:c r="A16" t="str">
        <x:v>True</x:v>
      </x:c>
      <x:c r="B16" t="str">
        <x:v>255</x:v>
      </x:c>
      <x:c r="C16" t="str">
        <x:v>A15</x:v>
      </x:c>
      <x:c r="D16" t="str">
        <x:v>Sample 15</x:v>
      </x:c>
      <x:c r="E16" t="n">
        <x:v>83.7</x:v>
      </x:c>
      <x:c r="F16"/>
      <x:c r="G16" t="str"/>
    </x:row>
    <x:row r="17">
      <x:c r="A17" t="str">
        <x:v>True</x:v>
      </x:c>
      <x:c r="B17" t="str">
        <x:v>255</x:v>
      </x:c>
      <x:c r="C17" t="str">
        <x:v>A16</x:v>
      </x:c>
      <x:c r="D17" t="str">
        <x:v>Sample 16</x:v>
      </x:c>
      <x:c r="E17" t="n">
        <x:v>83.74</x:v>
      </x:c>
      <x:c r="F17"/>
      <x:c r="G17" t="str"/>
    </x:row>
    <x:row r="18">
      <x:c r="A18" t="str">
        <x:v>True</x:v>
      </x:c>
      <x:c r="B18" t="str">
        <x:v>255</x:v>
      </x:c>
      <x:c r="C18" t="str">
        <x:v>A17</x:v>
      </x:c>
      <x:c r="D18" t="str">
        <x:v>Sample 17</x:v>
      </x:c>
      <x:c r="E18" t="n">
        <x:v>77.8</x:v>
      </x:c>
      <x:c r="F18"/>
      <x:c r="G18" t="str"/>
    </x:row>
    <x:row r="19">
      <x:c r="A19" t="str">
        <x:v>True</x:v>
      </x:c>
      <x:c r="B19" t="str">
        <x:v>255</x:v>
      </x:c>
      <x:c r="C19" t="str">
        <x:v>A18</x:v>
      </x:c>
      <x:c r="D19" t="str">
        <x:v>Sample 18</x:v>
      </x:c>
      <x:c r="E19" t="n">
        <x:v>77.87</x:v>
      </x:c>
      <x:c r="F19"/>
      <x:c r="G19" t="str"/>
    </x:row>
    <x:row r="20">
      <x:c r="A20" t="str">
        <x:v>True</x:v>
      </x:c>
      <x:c r="B20" t="str">
        <x:v>255</x:v>
      </x:c>
      <x:c r="C20" t="str">
        <x:v>A19</x:v>
      </x:c>
      <x:c r="D20" t="str">
        <x:v>Sample 19</x:v>
      </x:c>
      <x:c r="E20" t="n">
        <x:v>77.98</x:v>
      </x:c>
      <x:c r="F20"/>
      <x:c r="G20" t="str"/>
    </x:row>
    <x:row r="21">
      <x:c r="A21" t="str">
        <x:v>True</x:v>
      </x:c>
      <x:c r="B21" t="str">
        <x:v>255</x:v>
      </x:c>
      <x:c r="C21" t="str">
        <x:v>A20</x:v>
      </x:c>
      <x:c r="D21" t="str">
        <x:v>Sample 20</x:v>
      </x:c>
      <x:c r="E21" t="n">
        <x:v>77.95</x:v>
      </x:c>
      <x:c r="F21"/>
      <x:c r="G21" t="str"/>
    </x:row>
    <x:row r="22">
      <x:c r="A22" t="str">
        <x:v>True</x:v>
      </x:c>
      <x:c r="B22" t="str">
        <x:v>255</x:v>
      </x:c>
      <x:c r="C22" t="str">
        <x:v>A21</x:v>
      </x:c>
      <x:c r="D22" t="str">
        <x:v>Sample 21</x:v>
      </x:c>
      <x:c r="E22" t="n">
        <x:v>73.76</x:v>
      </x:c>
      <x:c r="F22"/>
      <x:c r="G22" t="str"/>
    </x:row>
    <x:row r="23">
      <x:c r="A23" t="str">
        <x:v>True</x:v>
      </x:c>
      <x:c r="B23" t="str">
        <x:v>255</x:v>
      </x:c>
      <x:c r="C23" t="str">
        <x:v>A22</x:v>
      </x:c>
      <x:c r="D23" t="str">
        <x:v>Sample 22</x:v>
      </x:c>
      <x:c r="E23" t="n">
        <x:v>73.22</x:v>
      </x:c>
      <x:c r="F23"/>
      <x:c r="G23" t="str"/>
    </x:row>
    <x:row r="24">
      <x:c r="A24" t="str">
        <x:v>True</x:v>
      </x:c>
      <x:c r="B24" t="str">
        <x:v>255</x:v>
      </x:c>
      <x:c r="C24" t="str">
        <x:v>A23</x:v>
      </x:c>
      <x:c r="D24" t="str">
        <x:v>Sample 23</x:v>
      </x:c>
      <x:c r="E24" t="n">
        <x:v>73.25</x:v>
      </x:c>
      <x:c r="F24"/>
      <x:c r="G24" t="str"/>
    </x:row>
    <x:row r="25">
      <x:c r="A25" t="str">
        <x:v>True</x:v>
      </x:c>
      <x:c r="B25" t="str">
        <x:v>255</x:v>
      </x:c>
      <x:c r="C25" t="str">
        <x:v>A24</x:v>
      </x:c>
      <x:c r="D25" t="str">
        <x:v>Sample 24</x:v>
      </x:c>
      <x:c r="E25" t="n">
        <x:v>73.16</x:v>
      </x:c>
      <x:c r="F25"/>
      <x:c r="G25" t="str"/>
    </x:row>
    <x:row r="26">
      <x:c r="A26" t="str">
        <x:v>True</x:v>
      </x:c>
      <x:c r="B26" t="str">
        <x:v>255</x:v>
      </x:c>
      <x:c r="C26" t="str">
        <x:v>B1</x:v>
      </x:c>
      <x:c r="D26" t="str">
        <x:v>Sample 25</x:v>
      </x:c>
      <x:c r="E26" t="n">
        <x:v>85.91</x:v>
      </x:c>
      <x:c r="F26"/>
      <x:c r="G26" t="str"/>
    </x:row>
    <x:row r="27">
      <x:c r="A27" t="str">
        <x:v>True</x:v>
      </x:c>
      <x:c r="B27" t="str">
        <x:v>255</x:v>
      </x:c>
      <x:c r="C27" t="str">
        <x:v>B2</x:v>
      </x:c>
      <x:c r="D27" t="str">
        <x:v>Sample 26</x:v>
      </x:c>
      <x:c r="E27" t="n">
        <x:v>85.96</x:v>
      </x:c>
      <x:c r="F27"/>
      <x:c r="G27" t="str"/>
    </x:row>
    <x:row r="28">
      <x:c r="A28" t="str">
        <x:v>True</x:v>
      </x:c>
      <x:c r="B28" t="str">
        <x:v>255</x:v>
      </x:c>
      <x:c r="C28" t="str">
        <x:v>B3</x:v>
      </x:c>
      <x:c r="D28" t="str">
        <x:v>Sample 27</x:v>
      </x:c>
      <x:c r="E28" t="n">
        <x:v>85.96</x:v>
      </x:c>
      <x:c r="F28"/>
      <x:c r="G28" t="str"/>
    </x:row>
    <x:row r="29">
      <x:c r="A29" t="str">
        <x:v>True</x:v>
      </x:c>
      <x:c r="B29" t="str">
        <x:v>255</x:v>
      </x:c>
      <x:c r="C29" t="str">
        <x:v>B4</x:v>
      </x:c>
      <x:c r="D29" t="str">
        <x:v>Sample 28</x:v>
      </x:c>
      <x:c r="E29" t="n">
        <x:v>85.94</x:v>
      </x:c>
      <x:c r="F29"/>
      <x:c r="G29" t="str"/>
    </x:row>
    <x:row r="30">
      <x:c r="A30" t="str">
        <x:v>True</x:v>
      </x:c>
      <x:c r="B30" t="str">
        <x:v>255</x:v>
      </x:c>
      <x:c r="C30" t="str">
        <x:v>B5</x:v>
      </x:c>
      <x:c r="D30" t="str">
        <x:v>Sample 29</x:v>
      </x:c>
      <x:c r="E30" t="n">
        <x:v>80.22</x:v>
      </x:c>
      <x:c r="F30"/>
      <x:c r="G30" t="str"/>
    </x:row>
    <x:row r="31">
      <x:c r="A31" t="str">
        <x:v>True</x:v>
      </x:c>
      <x:c r="B31" t="str">
        <x:v>255</x:v>
      </x:c>
      <x:c r="C31" t="str">
        <x:v>B6</x:v>
      </x:c>
      <x:c r="D31" t="str">
        <x:v>Sample 30</x:v>
      </x:c>
      <x:c r="E31" t="n">
        <x:v>80.25</x:v>
      </x:c>
      <x:c r="F31"/>
      <x:c r="G31" t="str"/>
    </x:row>
    <x:row r="32">
      <x:c r="A32" t="str">
        <x:v>True</x:v>
      </x:c>
      <x:c r="B32" t="str">
        <x:v>255</x:v>
      </x:c>
      <x:c r="C32" t="str">
        <x:v>B7</x:v>
      </x:c>
      <x:c r="D32" t="str">
        <x:v>Sample 31</x:v>
      </x:c>
      <x:c r="E32" t="n">
        <x:v>80.21</x:v>
      </x:c>
      <x:c r="F32"/>
      <x:c r="G32" t="str"/>
    </x:row>
    <x:row r="33">
      <x:c r="A33" t="str">
        <x:v>True</x:v>
      </x:c>
      <x:c r="B33" t="str">
        <x:v>255</x:v>
      </x:c>
      <x:c r="C33" t="str">
        <x:v>B8</x:v>
      </x:c>
      <x:c r="D33" t="str">
        <x:v>Sample 32</x:v>
      </x:c>
      <x:c r="E33" t="n">
        <x:v>80.2</x:v>
      </x:c>
      <x:c r="F33"/>
      <x:c r="G33" t="str"/>
    </x:row>
    <x:row r="34">
      <x:c r="A34" t="str">
        <x:v>True</x:v>
      </x:c>
      <x:c r="B34" t="str">
        <x:v>255</x:v>
      </x:c>
      <x:c r="C34" t="str">
        <x:v>B9</x:v>
      </x:c>
      <x:c r="D34" t="str">
        <x:v>Sample 33</x:v>
      </x:c>
      <x:c r="E34" t="n">
        <x:v>79.27</x:v>
      </x:c>
      <x:c r="F34"/>
      <x:c r="G34" t="str"/>
    </x:row>
    <x:row r="35">
      <x:c r="A35" t="str">
        <x:v>True</x:v>
      </x:c>
      <x:c r="B35" t="str">
        <x:v>255</x:v>
      </x:c>
      <x:c r="C35" t="str">
        <x:v>B10</x:v>
      </x:c>
      <x:c r="D35" t="str">
        <x:v>Sample 34</x:v>
      </x:c>
      <x:c r="E35" t="n">
        <x:v>79.28</x:v>
      </x:c>
      <x:c r="F35"/>
      <x:c r="G35" t="str"/>
    </x:row>
    <x:row r="36">
      <x:c r="A36" t="str">
        <x:v>True</x:v>
      </x:c>
      <x:c r="B36" t="str">
        <x:v>255</x:v>
      </x:c>
      <x:c r="C36" t="str">
        <x:v>B11</x:v>
      </x:c>
      <x:c r="D36" t="str">
        <x:v>Sample 35</x:v>
      </x:c>
      <x:c r="E36" t="n">
        <x:v>79.27</x:v>
      </x:c>
      <x:c r="F36"/>
      <x:c r="G36" t="str"/>
    </x:row>
    <x:row r="37">
      <x:c r="A37" t="str">
        <x:v>True</x:v>
      </x:c>
      <x:c r="B37" t="str">
        <x:v>255</x:v>
      </x:c>
      <x:c r="C37" t="str">
        <x:v>B12</x:v>
      </x:c>
      <x:c r="D37" t="str">
        <x:v>Sample 36</x:v>
      </x:c>
      <x:c r="E37" t="n">
        <x:v>79.37</x:v>
      </x:c>
      <x:c r="F37"/>
      <x:c r="G37" t="str"/>
    </x:row>
    <x:row r="38">
      <x:c r="A38" t="str">
        <x:v>True</x:v>
      </x:c>
      <x:c r="B38" t="str">
        <x:v>255</x:v>
      </x:c>
      <x:c r="C38" t="str">
        <x:v>B13</x:v>
      </x:c>
      <x:c r="D38" t="str">
        <x:v>Sample 37</x:v>
      </x:c>
      <x:c r="E38" t="n">
        <x:v>83.54</x:v>
      </x:c>
      <x:c r="F38"/>
      <x:c r="G38" t="str"/>
    </x:row>
    <x:row r="39">
      <x:c r="A39" t="str">
        <x:v>True</x:v>
      </x:c>
      <x:c r="B39" t="str">
        <x:v>255</x:v>
      </x:c>
      <x:c r="C39" t="str">
        <x:v>B14</x:v>
      </x:c>
      <x:c r="D39" t="str">
        <x:v>Sample 38</x:v>
      </x:c>
      <x:c r="E39" t="n">
        <x:v>83.59</x:v>
      </x:c>
      <x:c r="F39"/>
      <x:c r="G39" t="str"/>
    </x:row>
    <x:row r="40">
      <x:c r="A40" t="str">
        <x:v>True</x:v>
      </x:c>
      <x:c r="B40" t="str">
        <x:v>255</x:v>
      </x:c>
      <x:c r="C40" t="str">
        <x:v>B15</x:v>
      </x:c>
      <x:c r="D40" t="str">
        <x:v>Sample 39</x:v>
      </x:c>
      <x:c r="E40" t="n">
        <x:v>83.63</x:v>
      </x:c>
      <x:c r="F40"/>
      <x:c r="G40" t="str"/>
    </x:row>
    <x:row r="41">
      <x:c r="A41" t="str">
        <x:v>True</x:v>
      </x:c>
      <x:c r="B41" t="str">
        <x:v>255</x:v>
      </x:c>
      <x:c r="C41" t="str">
        <x:v>B16</x:v>
      </x:c>
      <x:c r="D41" t="str">
        <x:v>Sample 40</x:v>
      </x:c>
      <x:c r="E41" t="n">
        <x:v>83.62</x:v>
      </x:c>
      <x:c r="F41"/>
      <x:c r="G41" t="str"/>
    </x:row>
    <x:row r="42">
      <x:c r="A42" t="str">
        <x:v>True</x:v>
      </x:c>
      <x:c r="B42" t="str">
        <x:v>255</x:v>
      </x:c>
      <x:c r="C42" t="str">
        <x:v>B17</x:v>
      </x:c>
      <x:c r="D42" t="str">
        <x:v>Sample 41</x:v>
      </x:c>
      <x:c r="E42" t="n">
        <x:v>76.91</x:v>
      </x:c>
      <x:c r="F42"/>
      <x:c r="G42" t="str"/>
    </x:row>
    <x:row r="43">
      <x:c r="A43" t="str">
        <x:v>True</x:v>
      </x:c>
      <x:c r="B43" t="str">
        <x:v>255</x:v>
      </x:c>
      <x:c r="C43" t="str">
        <x:v>B18</x:v>
      </x:c>
      <x:c r="D43" t="str">
        <x:v>Sample 42</x:v>
      </x:c>
      <x:c r="E43" t="n">
        <x:v>76.89</x:v>
      </x:c>
      <x:c r="F43"/>
      <x:c r="G43" t="str"/>
    </x:row>
    <x:row r="44">
      <x:c r="A44" t="str">
        <x:v>True</x:v>
      </x:c>
      <x:c r="B44" t="str">
        <x:v>255</x:v>
      </x:c>
      <x:c r="C44" t="str">
        <x:v>B19</x:v>
      </x:c>
      <x:c r="D44" t="str">
        <x:v>Sample 43</x:v>
      </x:c>
      <x:c r="E44" t="n">
        <x:v>77.16</x:v>
      </x:c>
      <x:c r="F44"/>
      <x:c r="G44" t="str"/>
    </x:row>
    <x:row r="45">
      <x:c r="A45" t="str">
        <x:v>True</x:v>
      </x:c>
      <x:c r="B45" t="str">
        <x:v>255</x:v>
      </x:c>
      <x:c r="C45" t="str">
        <x:v>B20</x:v>
      </x:c>
      <x:c r="D45" t="str">
        <x:v>Sample 44</x:v>
      </x:c>
      <x:c r="E45" t="n">
        <x:v>77.13</x:v>
      </x:c>
      <x:c r="F45"/>
      <x:c r="G45" t="str"/>
    </x:row>
    <x:row r="46">
      <x:c r="A46" t="str">
        <x:v>True</x:v>
      </x:c>
      <x:c r="B46" t="str">
        <x:v>255</x:v>
      </x:c>
      <x:c r="C46" t="str">
        <x:v>B21</x:v>
      </x:c>
      <x:c r="D46" t="str">
        <x:v>Sample 45</x:v>
      </x:c>
      <x:c r="E46" t="n">
        <x:v>73.12</x:v>
      </x:c>
      <x:c r="F46"/>
      <x:c r="G46" t="str"/>
    </x:row>
    <x:row r="47">
      <x:c r="A47" t="str">
        <x:v>True</x:v>
      </x:c>
      <x:c r="B47" t="str">
        <x:v>255</x:v>
      </x:c>
      <x:c r="C47" t="str">
        <x:v>B22</x:v>
      </x:c>
      <x:c r="D47" t="str">
        <x:v>Sample 46</x:v>
      </x:c>
      <x:c r="E47" t="n">
        <x:v>73.15</x:v>
      </x:c>
      <x:c r="F47"/>
      <x:c r="G47" t="str"/>
    </x:row>
    <x:row r="48">
      <x:c r="A48" t="str">
        <x:v>True</x:v>
      </x:c>
      <x:c r="B48" t="str">
        <x:v>255</x:v>
      </x:c>
      <x:c r="C48" t="str">
        <x:v>B23</x:v>
      </x:c>
      <x:c r="D48" t="str">
        <x:v>Sample 47</x:v>
      </x:c>
      <x:c r="E48" t="n">
        <x:v>73.16</x:v>
      </x:c>
      <x:c r="F48"/>
      <x:c r="G48" t="str"/>
    </x:row>
    <x:row r="49">
      <x:c r="A49" t="str">
        <x:v>True</x:v>
      </x:c>
      <x:c r="B49" t="str">
        <x:v>255</x:v>
      </x:c>
      <x:c r="C49" t="str">
        <x:v>B24</x:v>
      </x:c>
      <x:c r="D49" t="str">
        <x:v>Sample 48</x:v>
      </x:c>
      <x:c r="E49" t="n">
        <x:v>73.18</x:v>
      </x:c>
      <x:c r="F49"/>
      <x:c r="G49" t="str"/>
    </x:row>
    <x:row r="50">
      <x:c r="A50" t="str">
        <x:v>True</x:v>
      </x:c>
      <x:c r="B50" t="str">
        <x:v>255</x:v>
      </x:c>
      <x:c r="C50" t="str">
        <x:v>C1</x:v>
      </x:c>
      <x:c r="D50" t="str">
        <x:v>Sample 49</x:v>
      </x:c>
      <x:c r="E50" t="n">
        <x:v>85.98</x:v>
      </x:c>
      <x:c r="F50"/>
      <x:c r="G50" t="str"/>
    </x:row>
    <x:row r="51">
      <x:c r="A51" t="str">
        <x:v>True</x:v>
      </x:c>
      <x:c r="B51" t="str">
        <x:v>255</x:v>
      </x:c>
      <x:c r="C51" t="str">
        <x:v>C2</x:v>
      </x:c>
      <x:c r="D51" t="str">
        <x:v>Sample 50</x:v>
      </x:c>
      <x:c r="E51" t="n">
        <x:v>86.01</x:v>
      </x:c>
      <x:c r="F51"/>
      <x:c r="G51" t="str"/>
    </x:row>
    <x:row r="52">
      <x:c r="A52" t="str">
        <x:v>True</x:v>
      </x:c>
      <x:c r="B52" t="str">
        <x:v>255</x:v>
      </x:c>
      <x:c r="C52" t="str">
        <x:v>C3</x:v>
      </x:c>
      <x:c r="D52" t="str">
        <x:v>Sample 51</x:v>
      </x:c>
      <x:c r="E52" t="n">
        <x:v>86.02</x:v>
      </x:c>
      <x:c r="F52"/>
      <x:c r="G52" t="str"/>
    </x:row>
    <x:row r="53">
      <x:c r="A53" t="str">
        <x:v>True</x:v>
      </x:c>
      <x:c r="B53" t="str">
        <x:v>255</x:v>
      </x:c>
      <x:c r="C53" t="str">
        <x:v>C4</x:v>
      </x:c>
      <x:c r="D53" t="str">
        <x:v>Sample 52</x:v>
      </x:c>
      <x:c r="E53" t="n">
        <x:v>86.02</x:v>
      </x:c>
      <x:c r="F53"/>
      <x:c r="G53" t="str"/>
    </x:row>
    <x:row r="54">
      <x:c r="A54" t="str">
        <x:v>True</x:v>
      </x:c>
      <x:c r="B54" t="str">
        <x:v>255</x:v>
      </x:c>
      <x:c r="C54" t="str">
        <x:v>C5</x:v>
      </x:c>
      <x:c r="D54" t="str">
        <x:v>Sample 53</x:v>
      </x:c>
      <x:c r="E54" t="n">
        <x:v>80.31</x:v>
      </x:c>
      <x:c r="F54"/>
      <x:c r="G54" t="str"/>
    </x:row>
    <x:row r="55">
      <x:c r="A55" t="str">
        <x:v>True</x:v>
      </x:c>
      <x:c r="B55" t="str">
        <x:v>255</x:v>
      </x:c>
      <x:c r="C55" t="str">
        <x:v>C6</x:v>
      </x:c>
      <x:c r="D55" t="str">
        <x:v>Sample 54</x:v>
      </x:c>
      <x:c r="E55" t="n">
        <x:v>80.34</x:v>
      </x:c>
      <x:c r="F55"/>
      <x:c r="G55" t="str"/>
    </x:row>
    <x:row r="56">
      <x:c r="A56" t="str">
        <x:v>True</x:v>
      </x:c>
      <x:c r="B56" t="str">
        <x:v>255</x:v>
      </x:c>
      <x:c r="C56" t="str">
        <x:v>C7</x:v>
      </x:c>
      <x:c r="D56" t="str">
        <x:v>Sample 55</x:v>
      </x:c>
      <x:c r="E56" t="n">
        <x:v>80.33</x:v>
      </x:c>
      <x:c r="F56"/>
      <x:c r="G56" t="str"/>
    </x:row>
    <x:row r="57">
      <x:c r="A57" t="str">
        <x:v>True</x:v>
      </x:c>
      <x:c r="B57" t="str">
        <x:v>255</x:v>
      </x:c>
      <x:c r="C57" t="str">
        <x:v>C8</x:v>
      </x:c>
      <x:c r="D57" t="str">
        <x:v>Sample 56</x:v>
      </x:c>
      <x:c r="E57" t="n">
        <x:v>80.26</x:v>
      </x:c>
      <x:c r="F57"/>
      <x:c r="G57" t="str"/>
    </x:row>
    <x:row r="58">
      <x:c r="A58" t="str">
        <x:v>True</x:v>
      </x:c>
      <x:c r="B58" t="str">
        <x:v>255</x:v>
      </x:c>
      <x:c r="C58" t="str">
        <x:v>C9</x:v>
      </x:c>
      <x:c r="D58" t="str">
        <x:v>Sample 57</x:v>
      </x:c>
      <x:c r="E58" t="n">
        <x:v>79.28</x:v>
      </x:c>
      <x:c r="F58"/>
      <x:c r="G58" t="str"/>
    </x:row>
    <x:row r="59">
      <x:c r="A59" t="str">
        <x:v>True</x:v>
      </x:c>
      <x:c r="B59" t="str">
        <x:v>255</x:v>
      </x:c>
      <x:c r="C59" t="str">
        <x:v>C10</x:v>
      </x:c>
      <x:c r="D59" t="str">
        <x:v>Sample 58</x:v>
      </x:c>
      <x:c r="E59" t="n">
        <x:v>79.37</x:v>
      </x:c>
      <x:c r="F59"/>
      <x:c r="G59" t="str"/>
    </x:row>
    <x:row r="60">
      <x:c r="A60" t="str">
        <x:v>True</x:v>
      </x:c>
      <x:c r="B60" t="str">
        <x:v>255</x:v>
      </x:c>
      <x:c r="C60" t="str">
        <x:v>C11</x:v>
      </x:c>
      <x:c r="D60" t="str">
        <x:v>Sample 59</x:v>
      </x:c>
      <x:c r="E60" t="n">
        <x:v>79.37</x:v>
      </x:c>
      <x:c r="F60"/>
      <x:c r="G60" t="str"/>
    </x:row>
    <x:row r="61">
      <x:c r="A61" t="str">
        <x:v>True</x:v>
      </x:c>
      <x:c r="B61" t="str">
        <x:v>255</x:v>
      </x:c>
      <x:c r="C61" t="str">
        <x:v>C12</x:v>
      </x:c>
      <x:c r="D61" t="str">
        <x:v>Sample 60</x:v>
      </x:c>
      <x:c r="E61" t="n">
        <x:v>79.33</x:v>
      </x:c>
      <x:c r="F61"/>
      <x:c r="G61" t="str"/>
    </x:row>
    <x:row r="62">
      <x:c r="A62" t="str">
        <x:v>True</x:v>
      </x:c>
      <x:c r="B62" t="str">
        <x:v>255</x:v>
      </x:c>
      <x:c r="C62" t="str">
        <x:v>C13</x:v>
      </x:c>
      <x:c r="D62" t="str">
        <x:v>Sample 61</x:v>
      </x:c>
      <x:c r="E62" t="n">
        <x:v>83.71</x:v>
      </x:c>
      <x:c r="F62"/>
      <x:c r="G62" t="str"/>
    </x:row>
    <x:row r="63">
      <x:c r="A63" t="str">
        <x:v>True</x:v>
      </x:c>
      <x:c r="B63" t="str">
        <x:v>255</x:v>
      </x:c>
      <x:c r="C63" t="str">
        <x:v>C14</x:v>
      </x:c>
      <x:c r="D63" t="str">
        <x:v>Sample 62</x:v>
      </x:c>
      <x:c r="E63" t="n">
        <x:v>83.75</x:v>
      </x:c>
      <x:c r="F63"/>
      <x:c r="G63" t="str"/>
    </x:row>
    <x:row r="64">
      <x:c r="A64" t="str">
        <x:v>True</x:v>
      </x:c>
      <x:c r="B64" t="str">
        <x:v>255</x:v>
      </x:c>
      <x:c r="C64" t="str">
        <x:v>C15</x:v>
      </x:c>
      <x:c r="D64" t="str">
        <x:v>Sample 63</x:v>
      </x:c>
      <x:c r="E64" t="n">
        <x:v>83.81</x:v>
      </x:c>
      <x:c r="F64"/>
      <x:c r="G64" t="str"/>
    </x:row>
    <x:row r="65">
      <x:c r="A65" t="str">
        <x:v>True</x:v>
      </x:c>
      <x:c r="B65" t="str">
        <x:v>255</x:v>
      </x:c>
      <x:c r="C65" t="str">
        <x:v>C16</x:v>
      </x:c>
      <x:c r="D65" t="str">
        <x:v>Sample 64</x:v>
      </x:c>
      <x:c r="E65" t="n">
        <x:v>83.86</x:v>
      </x:c>
      <x:c r="F65"/>
      <x:c r="G65" t="str"/>
    </x:row>
    <x:row r="66">
      <x:c r="A66" t="str">
        <x:v>True</x:v>
      </x:c>
      <x:c r="B66" t="str">
        <x:v>255</x:v>
      </x:c>
      <x:c r="C66" t="str">
        <x:v>C17</x:v>
      </x:c>
      <x:c r="D66" t="str">
        <x:v>Sample 65</x:v>
      </x:c>
      <x:c r="E66" t="n">
        <x:v>77.85</x:v>
      </x:c>
      <x:c r="F66"/>
      <x:c r="G66" t="str"/>
    </x:row>
    <x:row r="67">
      <x:c r="A67" t="str">
        <x:v>True</x:v>
      </x:c>
      <x:c r="B67" t="str">
        <x:v>255</x:v>
      </x:c>
      <x:c r="C67" t="str">
        <x:v>C18</x:v>
      </x:c>
      <x:c r="D67" t="str">
        <x:v>Sample 66</x:v>
      </x:c>
      <x:c r="E67" t="n">
        <x:v>77.94</x:v>
      </x:c>
      <x:c r="F67"/>
      <x:c r="G67" t="str"/>
    </x:row>
    <x:row r="68">
      <x:c r="A68" t="str">
        <x:v>True</x:v>
      </x:c>
      <x:c r="B68" t="str">
        <x:v>255</x:v>
      </x:c>
      <x:c r="C68" t="str">
        <x:v>C19</x:v>
      </x:c>
      <x:c r="D68" t="str">
        <x:v>Sample 67</x:v>
      </x:c>
      <x:c r="E68" t="n">
        <x:v>78</x:v>
      </x:c>
      <x:c r="F68"/>
      <x:c r="G68" t="str"/>
    </x:row>
    <x:row r="69">
      <x:c r="A69" t="str">
        <x:v>True</x:v>
      </x:c>
      <x:c r="B69" t="str">
        <x:v>255</x:v>
      </x:c>
      <x:c r="C69" t="str">
        <x:v>C20</x:v>
      </x:c>
      <x:c r="D69" t="str">
        <x:v>Sample 68</x:v>
      </x:c>
      <x:c r="E69" t="n">
        <x:v>77.94</x:v>
      </x:c>
      <x:c r="F69"/>
      <x:c r="G69" t="str"/>
    </x:row>
    <x:row r="70">
      <x:c r="A70" t="str">
        <x:v>True</x:v>
      </x:c>
      <x:c r="B70" t="str">
        <x:v>255</x:v>
      </x:c>
      <x:c r="C70" t="str">
        <x:v>C21</x:v>
      </x:c>
      <x:c r="D70" t="str">
        <x:v>Sample 69</x:v>
      </x:c>
      <x:c r="E70" t="n">
        <x:v>73.48</x:v>
      </x:c>
      <x:c r="F70"/>
      <x:c r="G70" t="str"/>
    </x:row>
    <x:row r="71">
      <x:c r="A71" t="str">
        <x:v>True</x:v>
      </x:c>
      <x:c r="B71" t="str">
        <x:v>255</x:v>
      </x:c>
      <x:c r="C71" t="str">
        <x:v>C22</x:v>
      </x:c>
      <x:c r="D71" t="str">
        <x:v>Sample 70</x:v>
      </x:c>
      <x:c r="E71" t="n">
        <x:v>74.19</x:v>
      </x:c>
      <x:c r="F71"/>
      <x:c r="G71" t="str"/>
    </x:row>
    <x:row r="72">
      <x:c r="A72" t="str">
        <x:v>True</x:v>
      </x:c>
      <x:c r="B72" t="str">
        <x:v>255</x:v>
      </x:c>
      <x:c r="C72" t="str">
        <x:v>C23</x:v>
      </x:c>
      <x:c r="D72" t="str">
        <x:v>Sample 71</x:v>
      </x:c>
      <x:c r="E72" t="n">
        <x:v>73.8</x:v>
      </x:c>
      <x:c r="F72"/>
      <x:c r="G72" t="str"/>
    </x:row>
    <x:row r="73">
      <x:c r="A73" t="str">
        <x:v>True</x:v>
      </x:c>
      <x:c r="B73" t="str">
        <x:v>255</x:v>
      </x:c>
      <x:c r="C73" t="str">
        <x:v>C24</x:v>
      </x:c>
      <x:c r="D73" t="str">
        <x:v>Sample 72</x:v>
      </x:c>
      <x:c r="E73" t="n">
        <x:v>74.04</x:v>
      </x:c>
      <x:c r="F73"/>
      <x:c r="G73" t="str"/>
    </x:row>
    <x:row r="74">
      <x:c r="A74" t="str">
        <x:v>True</x:v>
      </x:c>
      <x:c r="B74" t="str">
        <x:v>255</x:v>
      </x:c>
      <x:c r="C74" t="str">
        <x:v>D1</x:v>
      </x:c>
      <x:c r="D74" t="str">
        <x:v>Sample 73</x:v>
      </x:c>
      <x:c r="E74" t="n">
        <x:v>85.92</x:v>
      </x:c>
      <x:c r="F74"/>
      <x:c r="G74" t="str"/>
    </x:row>
    <x:row r="75">
      <x:c r="A75" t="str">
        <x:v>True</x:v>
      </x:c>
      <x:c r="B75" t="str">
        <x:v>255</x:v>
      </x:c>
      <x:c r="C75" t="str">
        <x:v>D2</x:v>
      </x:c>
      <x:c r="D75" t="str">
        <x:v>Sample 74</x:v>
      </x:c>
      <x:c r="E75" t="n">
        <x:v>85.93</x:v>
      </x:c>
      <x:c r="F75"/>
      <x:c r="G75" t="str"/>
    </x:row>
    <x:row r="76">
      <x:c r="A76" t="str">
        <x:v>True</x:v>
      </x:c>
      <x:c r="B76" t="str">
        <x:v>255</x:v>
      </x:c>
      <x:c r="C76" t="str">
        <x:v>D3</x:v>
      </x:c>
      <x:c r="D76" t="str">
        <x:v>Sample 75</x:v>
      </x:c>
      <x:c r="E76" t="n">
        <x:v>85.89</x:v>
      </x:c>
      <x:c r="F76"/>
      <x:c r="G76" t="str"/>
    </x:row>
    <x:row r="77">
      <x:c r="A77" t="str">
        <x:v>True</x:v>
      </x:c>
      <x:c r="B77" t="str">
        <x:v>255</x:v>
      </x:c>
      <x:c r="C77" t="str">
        <x:v>D4</x:v>
      </x:c>
      <x:c r="D77" t="str">
        <x:v>Sample 76</x:v>
      </x:c>
      <x:c r="E77" t="n">
        <x:v>85.9</x:v>
      </x:c>
      <x:c r="F77"/>
      <x:c r="G77" t="str"/>
    </x:row>
    <x:row r="78">
      <x:c r="A78" t="str">
        <x:v>True</x:v>
      </x:c>
      <x:c r="B78" t="str">
        <x:v>255</x:v>
      </x:c>
      <x:c r="C78" t="str">
        <x:v>D5</x:v>
      </x:c>
      <x:c r="D78" t="str">
        <x:v>Sample 77</x:v>
      </x:c>
      <x:c r="E78" t="n">
        <x:v>80.19</x:v>
      </x:c>
      <x:c r="F78"/>
      <x:c r="G78" t="str"/>
    </x:row>
    <x:row r="79">
      <x:c r="A79" t="str">
        <x:v>True</x:v>
      </x:c>
      <x:c r="B79" t="str">
        <x:v>255</x:v>
      </x:c>
      <x:c r="C79" t="str">
        <x:v>D6</x:v>
      </x:c>
      <x:c r="D79" t="str">
        <x:v>Sample 78</x:v>
      </x:c>
      <x:c r="E79" t="n">
        <x:v>80.18</x:v>
      </x:c>
      <x:c r="F79"/>
      <x:c r="G79" t="str"/>
    </x:row>
    <x:row r="80">
      <x:c r="A80" t="str">
        <x:v>True</x:v>
      </x:c>
      <x:c r="B80" t="str">
        <x:v>255</x:v>
      </x:c>
      <x:c r="C80" t="str">
        <x:v>D7</x:v>
      </x:c>
      <x:c r="D80" t="str">
        <x:v>Sample 79</x:v>
      </x:c>
      <x:c r="E80" t="n">
        <x:v>80.25</x:v>
      </x:c>
      <x:c r="F80"/>
      <x:c r="G80" t="str"/>
    </x:row>
    <x:row r="81">
      <x:c r="A81" t="str">
        <x:v>True</x:v>
      </x:c>
      <x:c r="B81" t="str">
        <x:v>255</x:v>
      </x:c>
      <x:c r="C81" t="str">
        <x:v>D8</x:v>
      </x:c>
      <x:c r="D81" t="str">
        <x:v>Sample 80</x:v>
      </x:c>
      <x:c r="E81" t="n">
        <x:v>80.26</x:v>
      </x:c>
      <x:c r="F81"/>
      <x:c r="G81" t="str"/>
    </x:row>
    <x:row r="82">
      <x:c r="A82" t="str">
        <x:v>True</x:v>
      </x:c>
      <x:c r="B82" t="str">
        <x:v>255</x:v>
      </x:c>
      <x:c r="C82" t="str">
        <x:v>D9</x:v>
      </x:c>
      <x:c r="D82" t="str">
        <x:v>Sample 81</x:v>
      </x:c>
      <x:c r="E82" t="n">
        <x:v>79.25</x:v>
      </x:c>
      <x:c r="F82"/>
      <x:c r="G82" t="str"/>
    </x:row>
    <x:row r="83">
      <x:c r="A83" t="str">
        <x:v>True</x:v>
      </x:c>
      <x:c r="B83" t="str">
        <x:v>255</x:v>
      </x:c>
      <x:c r="C83" t="str">
        <x:v>D10</x:v>
      </x:c>
      <x:c r="D83" t="str">
        <x:v>Sample 82</x:v>
      </x:c>
      <x:c r="E83" t="n">
        <x:v>79.3</x:v>
      </x:c>
      <x:c r="F83"/>
      <x:c r="G83" t="str"/>
    </x:row>
    <x:row r="84">
      <x:c r="A84" t="str">
        <x:v>True</x:v>
      </x:c>
      <x:c r="B84" t="str">
        <x:v>255</x:v>
      </x:c>
      <x:c r="C84" t="str">
        <x:v>D11</x:v>
      </x:c>
      <x:c r="D84" t="str">
        <x:v>Sample 83</x:v>
      </x:c>
      <x:c r="E84" t="n">
        <x:v>79.26</x:v>
      </x:c>
      <x:c r="F84"/>
      <x:c r="G84" t="str"/>
    </x:row>
    <x:row r="85">
      <x:c r="A85" t="str">
        <x:v>True</x:v>
      </x:c>
      <x:c r="B85" t="str">
        <x:v>255</x:v>
      </x:c>
      <x:c r="C85" t="str">
        <x:v>D12</x:v>
      </x:c>
      <x:c r="D85" t="str">
        <x:v>Sample 84</x:v>
      </x:c>
      <x:c r="E85" t="n">
        <x:v>79.32</x:v>
      </x:c>
      <x:c r="F85"/>
      <x:c r="G85" t="str"/>
    </x:row>
    <x:row r="86">
      <x:c r="A86" t="str">
        <x:v>True</x:v>
      </x:c>
      <x:c r="B86" t="str">
        <x:v>255</x:v>
      </x:c>
      <x:c r="C86" t="str">
        <x:v>D13</x:v>
      </x:c>
      <x:c r="D86" t="str">
        <x:v>Sample 85</x:v>
      </x:c>
      <x:c r="E86" t="n">
        <x:v>83.53</x:v>
      </x:c>
      <x:c r="F86"/>
      <x:c r="G86" t="str"/>
    </x:row>
    <x:row r="87">
      <x:c r="A87" t="str">
        <x:v>True</x:v>
      </x:c>
      <x:c r="B87" t="str">
        <x:v>255</x:v>
      </x:c>
      <x:c r="C87" t="str">
        <x:v>D14</x:v>
      </x:c>
      <x:c r="D87" t="str">
        <x:v>Sample 86</x:v>
      </x:c>
      <x:c r="E87" t="n">
        <x:v>83.59</x:v>
      </x:c>
      <x:c r="F87"/>
      <x:c r="G87" t="str"/>
    </x:row>
    <x:row r="88">
      <x:c r="A88" t="str">
        <x:v>True</x:v>
      </x:c>
      <x:c r="B88" t="str">
        <x:v>255</x:v>
      </x:c>
      <x:c r="C88" t="str">
        <x:v>D15</x:v>
      </x:c>
      <x:c r="D88" t="str">
        <x:v>Sample 87</x:v>
      </x:c>
      <x:c r="E88" t="n">
        <x:v>83.6</x:v>
      </x:c>
      <x:c r="F88"/>
      <x:c r="G88" t="str"/>
    </x:row>
    <x:row r="89">
      <x:c r="A89" t="str">
        <x:v>True</x:v>
      </x:c>
      <x:c r="B89" t="str">
        <x:v>255</x:v>
      </x:c>
      <x:c r="C89" t="str">
        <x:v>D16</x:v>
      </x:c>
      <x:c r="D89" t="str">
        <x:v>Sample 88</x:v>
      </x:c>
      <x:c r="E89" t="n">
        <x:v>83.68</x:v>
      </x:c>
      <x:c r="F89"/>
      <x:c r="G89" t="str"/>
    </x:row>
    <x:row r="90">
      <x:c r="A90" t="str">
        <x:v>True</x:v>
      </x:c>
      <x:c r="B90" t="str">
        <x:v>255</x:v>
      </x:c>
      <x:c r="C90" t="str">
        <x:v>D17</x:v>
      </x:c>
      <x:c r="D90" t="str">
        <x:v>Sample 89</x:v>
      </x:c>
      <x:c r="E90" t="n">
        <x:v>77.49</x:v>
      </x:c>
      <x:c r="F90"/>
      <x:c r="G90" t="str"/>
    </x:row>
    <x:row r="91">
      <x:c r="A91" t="str">
        <x:v>True</x:v>
      </x:c>
      <x:c r="B91" t="str">
        <x:v>255</x:v>
      </x:c>
      <x:c r="C91" t="str">
        <x:v>D18</x:v>
      </x:c>
      <x:c r="D91" t="str">
        <x:v>Sample 90</x:v>
      </x:c>
      <x:c r="E91" t="n">
        <x:v>77.38</x:v>
      </x:c>
      <x:c r="F91"/>
      <x:c r="G91" t="str"/>
    </x:row>
    <x:row r="92">
      <x:c r="A92" t="str">
        <x:v>True</x:v>
      </x:c>
      <x:c r="B92" t="str">
        <x:v>255</x:v>
      </x:c>
      <x:c r="C92" t="str">
        <x:v>D19</x:v>
      </x:c>
      <x:c r="D92" t="str">
        <x:v>Sample 91</x:v>
      </x:c>
      <x:c r="E92" t="n">
        <x:v>77.63</x:v>
      </x:c>
      <x:c r="F92"/>
      <x:c r="G92" t="str"/>
    </x:row>
    <x:row r="93">
      <x:c r="A93" t="str">
        <x:v>True</x:v>
      </x:c>
      <x:c r="B93" t="str">
        <x:v>255</x:v>
      </x:c>
      <x:c r="C93" t="str">
        <x:v>D20</x:v>
      </x:c>
      <x:c r="D93" t="str">
        <x:v>Sample 92</x:v>
      </x:c>
      <x:c r="E93" t="n">
        <x:v>77.55</x:v>
      </x:c>
      <x:c r="F93"/>
      <x:c r="G93" t="str"/>
    </x:row>
    <x:row r="94">
      <x:c r="A94" t="str">
        <x:v>True</x:v>
      </x:c>
      <x:c r="B94" t="str">
        <x:v>255</x:v>
      </x:c>
      <x:c r="C94" t="str">
        <x:v>D21</x:v>
      </x:c>
      <x:c r="D94" t="str">
        <x:v>Sample 93</x:v>
      </x:c>
      <x:c r="E94" t="n">
        <x:v>73.05</x:v>
      </x:c>
      <x:c r="F94"/>
      <x:c r="G94" t="str"/>
    </x:row>
    <x:row r="95">
      <x:c r="A95" t="str">
        <x:v>True</x:v>
      </x:c>
      <x:c r="B95" t="str">
        <x:v>255</x:v>
      </x:c>
      <x:c r="C95" t="str">
        <x:v>D22</x:v>
      </x:c>
      <x:c r="D95" t="str">
        <x:v>Sample 94</x:v>
      </x:c>
      <x:c r="E95" t="n">
        <x:v>73.13</x:v>
      </x:c>
      <x:c r="F95"/>
      <x:c r="G95" t="str"/>
    </x:row>
    <x:row r="96">
      <x:c r="A96" t="str">
        <x:v>True</x:v>
      </x:c>
      <x:c r="B96" t="str">
        <x:v>255</x:v>
      </x:c>
      <x:c r="C96" t="str">
        <x:v>D23</x:v>
      </x:c>
      <x:c r="D96" t="str">
        <x:v>Sample 95</x:v>
      </x:c>
      <x:c r="E96" t="n">
        <x:v>73.2</x:v>
      </x:c>
      <x:c r="F96"/>
      <x:c r="G96" t="str"/>
    </x:row>
    <x:row r="97">
      <x:c r="A97" t="str">
        <x:v>True</x:v>
      </x:c>
      <x:c r="B97" t="str">
        <x:v>255</x:v>
      </x:c>
      <x:c r="C97" t="str">
        <x:v>D24</x:v>
      </x:c>
      <x:c r="D97" t="str">
        <x:v>Sample 96</x:v>
      </x:c>
      <x:c r="E97" t="n">
        <x:v>73.13</x:v>
      </x:c>
      <x:c r="F97"/>
      <x:c r="G97" t="str"/>
    </x:row>
    <x:row r="98">
      <x:c r="A98" t="str">
        <x:v>True</x:v>
      </x:c>
      <x:c r="B98" t="str">
        <x:v>255</x:v>
      </x:c>
      <x:c r="C98" t="str">
        <x:v>E1</x:v>
      </x:c>
      <x:c r="D98" t="str">
        <x:v>Sample 97</x:v>
      </x:c>
      <x:c r="E98" t="n">
        <x:v>85.99</x:v>
      </x:c>
      <x:c r="F98"/>
      <x:c r="G98" t="str"/>
    </x:row>
    <x:row r="99">
      <x:c r="A99" t="str">
        <x:v>True</x:v>
      </x:c>
      <x:c r="B99" t="str">
        <x:v>255</x:v>
      </x:c>
      <x:c r="C99" t="str">
        <x:v>E2</x:v>
      </x:c>
      <x:c r="D99" t="str">
        <x:v>Sample 98</x:v>
      </x:c>
      <x:c r="E99" t="n">
        <x:v>85.98</x:v>
      </x:c>
      <x:c r="F99"/>
      <x:c r="G99" t="str"/>
    </x:row>
    <x:row r="100">
      <x:c r="A100" t="str">
        <x:v>True</x:v>
      </x:c>
      <x:c r="B100" t="str">
        <x:v>255</x:v>
      </x:c>
      <x:c r="C100" t="str">
        <x:v>E3</x:v>
      </x:c>
      <x:c r="D100" t="str">
        <x:v>Sample 99</x:v>
      </x:c>
      <x:c r="E100" t="n">
        <x:v>86.02</x:v>
      </x:c>
      <x:c r="F100"/>
      <x:c r="G100" t="str"/>
    </x:row>
    <x:row r="101">
      <x:c r="A101" t="str">
        <x:v>True</x:v>
      </x:c>
      <x:c r="B101" t="str">
        <x:v>255</x:v>
      </x:c>
      <x:c r="C101" t="str">
        <x:v>E4</x:v>
      </x:c>
      <x:c r="D101" t="str">
        <x:v>Sample 100</x:v>
      </x:c>
      <x:c r="E101" t="n">
        <x:v>85.97</x:v>
      </x:c>
      <x:c r="F101"/>
      <x:c r="G101" t="str"/>
    </x:row>
    <x:row r="102">
      <x:c r="A102" t="str">
        <x:v>True</x:v>
      </x:c>
      <x:c r="B102" t="str">
        <x:v>255</x:v>
      </x:c>
      <x:c r="C102" t="str">
        <x:v>E5</x:v>
      </x:c>
      <x:c r="D102" t="str">
        <x:v>Sample 101</x:v>
      </x:c>
      <x:c r="E102" t="n">
        <x:v>80.27</x:v>
      </x:c>
      <x:c r="F102"/>
      <x:c r="G102" t="str"/>
    </x:row>
    <x:row r="103">
      <x:c r="A103" t="str">
        <x:v>True</x:v>
      </x:c>
      <x:c r="B103" t="str">
        <x:v>255</x:v>
      </x:c>
      <x:c r="C103" t="str">
        <x:v>E6</x:v>
      </x:c>
      <x:c r="D103" t="str">
        <x:v>Sample 102</x:v>
      </x:c>
      <x:c r="E103" t="n">
        <x:v>80.29</x:v>
      </x:c>
      <x:c r="F103"/>
      <x:c r="G103" t="str"/>
    </x:row>
    <x:row r="104">
      <x:c r="A104" t="str">
        <x:v>True</x:v>
      </x:c>
      <x:c r="B104" t="str">
        <x:v>255</x:v>
      </x:c>
      <x:c r="C104" t="str">
        <x:v>E7</x:v>
      </x:c>
      <x:c r="D104" t="str">
        <x:v>Sample 103</x:v>
      </x:c>
      <x:c r="E104" t="n">
        <x:v>80.29</x:v>
      </x:c>
      <x:c r="F104"/>
      <x:c r="G104" t="str"/>
    </x:row>
    <x:row r="105">
      <x:c r="A105" t="str">
        <x:v>True</x:v>
      </x:c>
      <x:c r="B105" t="str">
        <x:v>255</x:v>
      </x:c>
      <x:c r="C105" t="str">
        <x:v>E8</x:v>
      </x:c>
      <x:c r="D105" t="str">
        <x:v>Sample 104</x:v>
      </x:c>
      <x:c r="E105" t="n">
        <x:v>80.25</x:v>
      </x:c>
      <x:c r="F105"/>
      <x:c r="G105" t="str"/>
    </x:row>
    <x:row r="106">
      <x:c r="A106" t="str">
        <x:v>True</x:v>
      </x:c>
      <x:c r="B106" t="str">
        <x:v>255</x:v>
      </x:c>
      <x:c r="C106" t="str">
        <x:v>E9</x:v>
      </x:c>
      <x:c r="D106" t="str">
        <x:v>Sample 105</x:v>
      </x:c>
      <x:c r="E106" t="n">
        <x:v>79.25</x:v>
      </x:c>
      <x:c r="F106"/>
      <x:c r="G106" t="str"/>
    </x:row>
    <x:row r="107">
      <x:c r="A107" t="str">
        <x:v>True</x:v>
      </x:c>
      <x:c r="B107" t="str">
        <x:v>255</x:v>
      </x:c>
      <x:c r="C107" t="str">
        <x:v>E10</x:v>
      </x:c>
      <x:c r="D107" t="str">
        <x:v>Sample 106</x:v>
      </x:c>
      <x:c r="E107" t="n">
        <x:v>79.33</x:v>
      </x:c>
      <x:c r="F107"/>
      <x:c r="G107" t="str"/>
    </x:row>
    <x:row r="108">
      <x:c r="A108" t="str">
        <x:v>True</x:v>
      </x:c>
      <x:c r="B108" t="str">
        <x:v>255</x:v>
      </x:c>
      <x:c r="C108" t="str">
        <x:v>E11</x:v>
      </x:c>
      <x:c r="D108" t="str">
        <x:v>Sample 107</x:v>
      </x:c>
      <x:c r="E108" t="n">
        <x:v>79.34</x:v>
      </x:c>
      <x:c r="F108"/>
      <x:c r="G108" t="str"/>
    </x:row>
    <x:row r="109">
      <x:c r="A109" t="str">
        <x:v>True</x:v>
      </x:c>
      <x:c r="B109" t="str">
        <x:v>255</x:v>
      </x:c>
      <x:c r="C109" t="str">
        <x:v>E12</x:v>
      </x:c>
      <x:c r="D109" t="str">
        <x:v>Sample 108</x:v>
      </x:c>
      <x:c r="E109" t="n">
        <x:v>79.35</x:v>
      </x:c>
      <x:c r="F109"/>
      <x:c r="G109" t="str"/>
    </x:row>
    <x:row r="110">
      <x:c r="A110" t="str">
        <x:v>True</x:v>
      </x:c>
      <x:c r="B110" t="str">
        <x:v>255</x:v>
      </x:c>
      <x:c r="C110" t="str">
        <x:v>E13</x:v>
      </x:c>
      <x:c r="D110" t="str">
        <x:v>Sample 109</x:v>
      </x:c>
      <x:c r="E110" t="n">
        <x:v>83.66</x:v>
      </x:c>
      <x:c r="F110"/>
      <x:c r="G110" t="str"/>
    </x:row>
    <x:row r="111">
      <x:c r="A111" t="str">
        <x:v>True</x:v>
      </x:c>
      <x:c r="B111" t="str">
        <x:v>255</x:v>
      </x:c>
      <x:c r="C111" t="str">
        <x:v>E14</x:v>
      </x:c>
      <x:c r="D111" t="str">
        <x:v>Sample 110</x:v>
      </x:c>
      <x:c r="E111" t="n">
        <x:v>83.44</x:v>
      </x:c>
      <x:c r="F111"/>
      <x:c r="G111" t="str"/>
    </x:row>
    <x:row r="112">
      <x:c r="A112" t="str">
        <x:v>True</x:v>
      </x:c>
      <x:c r="B112" t="str">
        <x:v>255</x:v>
      </x:c>
      <x:c r="C112" t="str">
        <x:v>E15</x:v>
      </x:c>
      <x:c r="D112" t="str">
        <x:v>Sample 111</x:v>
      </x:c>
      <x:c r="E112" t="n">
        <x:v>83.79</x:v>
      </x:c>
      <x:c r="F112"/>
      <x:c r="G112" t="str"/>
    </x:row>
    <x:row r="113">
      <x:c r="A113" t="str">
        <x:v>True</x:v>
      </x:c>
      <x:c r="B113" t="str">
        <x:v>255</x:v>
      </x:c>
      <x:c r="C113" t="str">
        <x:v>E16</x:v>
      </x:c>
      <x:c r="D113" t="str">
        <x:v>Sample 112</x:v>
      </x:c>
      <x:c r="E113" t="n">
        <x:v>83.81</x:v>
      </x:c>
      <x:c r="F113"/>
      <x:c r="G113" t="str"/>
    </x:row>
    <x:row r="114">
      <x:c r="A114" t="str">
        <x:v>True</x:v>
      </x:c>
      <x:c r="B114" t="str">
        <x:v>255</x:v>
      </x:c>
      <x:c r="C114" t="str">
        <x:v>E17</x:v>
      </x:c>
      <x:c r="D114" t="str">
        <x:v>Sample 113</x:v>
      </x:c>
      <x:c r="E114" t="n">
        <x:v>77.77</x:v>
      </x:c>
      <x:c r="F114"/>
      <x:c r="G114" t="str"/>
    </x:row>
    <x:row r="115">
      <x:c r="A115" t="str">
        <x:v>True</x:v>
      </x:c>
      <x:c r="B115" t="str">
        <x:v>255</x:v>
      </x:c>
      <x:c r="C115" t="str">
        <x:v>E18</x:v>
      </x:c>
      <x:c r="D115" t="str">
        <x:v>Sample 114</x:v>
      </x:c>
      <x:c r="E115" t="n">
        <x:v>77.92</x:v>
      </x:c>
      <x:c r="F115"/>
      <x:c r="G115" t="str"/>
    </x:row>
    <x:row r="116">
      <x:c r="A116" t="str">
        <x:v>True</x:v>
      </x:c>
      <x:c r="B116" t="str">
        <x:v>255</x:v>
      </x:c>
      <x:c r="C116" t="str">
        <x:v>E19</x:v>
      </x:c>
      <x:c r="D116" t="str">
        <x:v>Sample 115</x:v>
      </x:c>
      <x:c r="E116" t="n">
        <x:v>77.94</x:v>
      </x:c>
      <x:c r="F116"/>
      <x:c r="G116" t="str"/>
    </x:row>
    <x:row r="117">
      <x:c r="A117" t="str">
        <x:v>True</x:v>
      </x:c>
      <x:c r="B117" t="str">
        <x:v>255</x:v>
      </x:c>
      <x:c r="C117" t="str">
        <x:v>E20</x:v>
      </x:c>
      <x:c r="D117" t="str">
        <x:v>Sample 116</x:v>
      </x:c>
      <x:c r="E117" t="n">
        <x:v>77.96</x:v>
      </x:c>
      <x:c r="F117"/>
      <x:c r="G117" t="str"/>
    </x:row>
    <x:row r="118">
      <x:c r="A118" t="str">
        <x:v>True</x:v>
      </x:c>
      <x:c r="B118" t="str">
        <x:v>255</x:v>
      </x:c>
      <x:c r="C118" t="str">
        <x:v>E21</x:v>
      </x:c>
      <x:c r="D118" t="str">
        <x:v>Sample 117</x:v>
      </x:c>
      <x:c r="E118" t="n">
        <x:v>73.62</x:v>
      </x:c>
      <x:c r="F118"/>
      <x:c r="G118" t="str"/>
    </x:row>
    <x:row r="119">
      <x:c r="A119" t="str">
        <x:v>True</x:v>
      </x:c>
      <x:c r="B119" t="str">
        <x:v>255</x:v>
      </x:c>
      <x:c r="C119" t="str">
        <x:v>E22</x:v>
      </x:c>
      <x:c r="D119" t="str">
        <x:v>Sample 118</x:v>
      </x:c>
      <x:c r="E119" t="n">
        <x:v>73.88</x:v>
      </x:c>
      <x:c r="F119"/>
      <x:c r="G119" t="str"/>
    </x:row>
    <x:row r="120">
      <x:c r="A120" t="str">
        <x:v>True</x:v>
      </x:c>
      <x:c r="B120" t="str">
        <x:v>255</x:v>
      </x:c>
      <x:c r="C120" t="str">
        <x:v>E23</x:v>
      </x:c>
      <x:c r="D120" t="str">
        <x:v>Sample 119</x:v>
      </x:c>
      <x:c r="E120" t="n">
        <x:v>72.93</x:v>
      </x:c>
      <x:c r="F120"/>
      <x:c r="G120" t="str"/>
    </x:row>
    <x:row r="121">
      <x:c r="A121" t="str">
        <x:v>True</x:v>
      </x:c>
      <x:c r="B121" t="str">
        <x:v>255</x:v>
      </x:c>
      <x:c r="C121" t="str">
        <x:v>E24</x:v>
      </x:c>
      <x:c r="D121" t="str">
        <x:v>Sample 120</x:v>
      </x:c>
      <x:c r="E121" t="n">
        <x:v>74.3</x:v>
      </x:c>
      <x:c r="F121"/>
      <x:c r="G121" t="str"/>
    </x:row>
    <x:row r="122">
      <x:c r="A122" t="str">
        <x:v>True</x:v>
      </x:c>
      <x:c r="B122" t="str">
        <x:v>16744448</x:v>
      </x:c>
      <x:c r="C122" t="str">
        <x:v>F1</x:v>
      </x:c>
      <x:c r="D122" t="str">
        <x:v>Sample 121</x:v>
      </x:c>
      <x:c r="E122"/>
      <x:c r="F122"/>
      <x:c r="G122" t="str"/>
    </x:row>
    <x:row r="123">
      <x:c r="A123" t="str">
        <x:v>True</x:v>
      </x:c>
      <x:c r="B123" t="str">
        <x:v>16744448</x:v>
      </x:c>
      <x:c r="C123" t="str">
        <x:v>F2</x:v>
      </x:c>
      <x:c r="D123" t="str">
        <x:v>Sample 122</x:v>
      </x:c>
      <x:c r="E123"/>
      <x:c r="F123"/>
      <x:c r="G123" t="str"/>
    </x:row>
    <x:row r="124">
      <x:c r="A124" t="str">
        <x:v>True</x:v>
      </x:c>
      <x:c r="B124" t="str">
        <x:v>16744448</x:v>
      </x:c>
      <x:c r="C124" t="str">
        <x:v>F3</x:v>
      </x:c>
      <x:c r="D124" t="str">
        <x:v>Sample 123</x:v>
      </x:c>
      <x:c r="E124"/>
      <x:c r="F124"/>
      <x:c r="G124" t="str"/>
    </x:row>
    <x:row r="125">
      <x:c r="A125" t="str">
        <x:v>True</x:v>
      </x:c>
      <x:c r="B125" t="str">
        <x:v>16744448</x:v>
      </x:c>
      <x:c r="C125" t="str">
        <x:v>F4</x:v>
      </x:c>
      <x:c r="D125" t="str">
        <x:v>Sample 124</x:v>
      </x:c>
      <x:c r="E125"/>
      <x:c r="F125"/>
      <x:c r="G125" t="str"/>
    </x:row>
    <x:row r="126">
      <x:c r="A126" t="str">
        <x:v>True</x:v>
      </x:c>
      <x:c r="B126" t="str">
        <x:v>16744448</x:v>
      </x:c>
      <x:c r="C126" t="str">
        <x:v>F5</x:v>
      </x:c>
      <x:c r="D126" t="str">
        <x:v>Sample 125</x:v>
      </x:c>
      <x:c r="E126"/>
      <x:c r="F126"/>
      <x:c r="G126" t="str"/>
    </x:row>
    <x:row r="127">
      <x:c r="A127" t="str">
        <x:v>True</x:v>
      </x:c>
      <x:c r="B127" t="str">
        <x:v>16744448</x:v>
      </x:c>
      <x:c r="C127" t="str">
        <x:v>F6</x:v>
      </x:c>
      <x:c r="D127" t="str">
        <x:v>Sample 126</x:v>
      </x:c>
      <x:c r="E127"/>
      <x:c r="F127"/>
      <x:c r="G127" t="str"/>
    </x:row>
    <x:row r="128">
      <x:c r="A128" t="str">
        <x:v>True</x:v>
      </x:c>
      <x:c r="B128" t="str">
        <x:v>16744448</x:v>
      </x:c>
      <x:c r="C128" t="str">
        <x:v>F7</x:v>
      </x:c>
      <x:c r="D128" t="str">
        <x:v>Sample 127</x:v>
      </x:c>
      <x:c r="E128"/>
      <x:c r="F128"/>
      <x:c r="G128" t="str"/>
    </x:row>
    <x:row r="129">
      <x:c r="A129" t="str">
        <x:v>True</x:v>
      </x:c>
      <x:c r="B129" t="str">
        <x:v>16744448</x:v>
      </x:c>
      <x:c r="C129" t="str">
        <x:v>F8</x:v>
      </x:c>
      <x:c r="D129" t="str">
        <x:v>Sample 128</x:v>
      </x:c>
      <x:c r="E129"/>
      <x:c r="F129"/>
      <x:c r="G129" t="str"/>
    </x:row>
    <x:row r="130">
      <x:c r="A130" t="str">
        <x:v>True</x:v>
      </x:c>
      <x:c r="B130" t="str">
        <x:v>16744448</x:v>
      </x:c>
      <x:c r="C130" t="str">
        <x:v>F9</x:v>
      </x:c>
      <x:c r="D130" t="str">
        <x:v>Sample 129</x:v>
      </x:c>
      <x:c r="E130"/>
      <x:c r="F130"/>
      <x:c r="G130" t="str"/>
    </x:row>
    <x:row r="131">
      <x:c r="A131" t="str">
        <x:v>True</x:v>
      </x:c>
      <x:c r="B131" t="str">
        <x:v>16744448</x:v>
      </x:c>
      <x:c r="C131" t="str">
        <x:v>F10</x:v>
      </x:c>
      <x:c r="D131" t="str">
        <x:v>Sample 130</x:v>
      </x:c>
      <x:c r="E131"/>
      <x:c r="F131"/>
      <x:c r="G131" t="str"/>
    </x:row>
    <x:row r="132">
      <x:c r="A132" t="str">
        <x:v>True</x:v>
      </x:c>
      <x:c r="B132" t="str">
        <x:v>16744448</x:v>
      </x:c>
      <x:c r="C132" t="str">
        <x:v>F11</x:v>
      </x:c>
      <x:c r="D132" t="str">
        <x:v>Sample 131</x:v>
      </x:c>
      <x:c r="E132"/>
      <x:c r="F132"/>
      <x:c r="G132" t="str"/>
    </x:row>
    <x:row r="133">
      <x:c r="A133" t="str">
        <x:v>True</x:v>
      </x:c>
      <x:c r="B133" t="str">
        <x:v>16744448</x:v>
      </x:c>
      <x:c r="C133" t="str">
        <x:v>F12</x:v>
      </x:c>
      <x:c r="D133" t="str">
        <x:v>Sample 132</x:v>
      </x:c>
      <x:c r="E133"/>
      <x:c r="F133"/>
      <x:c r="G133" t="str"/>
    </x:row>
    <x:row r="134">
      <x:c r="A134" t="str">
        <x:v>True</x:v>
      </x:c>
      <x:c r="B134" t="str">
        <x:v>16744448</x:v>
      </x:c>
      <x:c r="C134" t="str">
        <x:v>F13</x:v>
      </x:c>
      <x:c r="D134" t="str">
        <x:v>Sample 133</x:v>
      </x:c>
      <x:c r="E134"/>
      <x:c r="F134"/>
      <x:c r="G134" t="str"/>
    </x:row>
    <x:row r="135">
      <x:c r="A135" t="str">
        <x:v>True</x:v>
      </x:c>
      <x:c r="B135" t="str">
        <x:v>16744448</x:v>
      </x:c>
      <x:c r="C135" t="str">
        <x:v>F14</x:v>
      </x:c>
      <x:c r="D135" t="str">
        <x:v>Sample 134</x:v>
      </x:c>
      <x:c r="E135"/>
      <x:c r="F135"/>
      <x:c r="G135" t="str"/>
    </x:row>
    <x:row r="136">
      <x:c r="A136" t="str">
        <x:v>True</x:v>
      </x:c>
      <x:c r="B136" t="str">
        <x:v>16744448</x:v>
      </x:c>
      <x:c r="C136" t="str">
        <x:v>F15</x:v>
      </x:c>
      <x:c r="D136" t="str">
        <x:v>Sample 135</x:v>
      </x:c>
      <x:c r="E136"/>
      <x:c r="F136"/>
      <x:c r="G136" t="str"/>
    </x:row>
    <x:row r="137">
      <x:c r="A137" t="str">
        <x:v>True</x:v>
      </x:c>
      <x:c r="B137" t="str">
        <x:v>16744448</x:v>
      </x:c>
      <x:c r="C137" t="str">
        <x:v>F16</x:v>
      </x:c>
      <x:c r="D137" t="str">
        <x:v>Sample 136</x:v>
      </x:c>
      <x:c r="E137"/>
      <x:c r="F137"/>
      <x:c r="G137" t="str"/>
    </x:row>
    <x:row r="138">
      <x:c r="A138" t="str">
        <x:v>True</x:v>
      </x:c>
      <x:c r="B138" t="str">
        <x:v>16744448</x:v>
      </x:c>
      <x:c r="C138" t="str">
        <x:v>F17</x:v>
      </x:c>
      <x:c r="D138" t="str">
        <x:v>Sample 137</x:v>
      </x:c>
      <x:c r="E138"/>
      <x:c r="F138"/>
      <x:c r="G138" t="str"/>
    </x:row>
    <x:row r="139">
      <x:c r="A139" t="str">
        <x:v>True</x:v>
      </x:c>
      <x:c r="B139" t="str">
        <x:v>16744448</x:v>
      </x:c>
      <x:c r="C139" t="str">
        <x:v>F18</x:v>
      </x:c>
      <x:c r="D139" t="str">
        <x:v>Sample 138</x:v>
      </x:c>
      <x:c r="E139"/>
      <x:c r="F139"/>
      <x:c r="G139" t="str"/>
    </x:row>
    <x:row r="140">
      <x:c r="A140" t="str">
        <x:v>True</x:v>
      </x:c>
      <x:c r="B140" t="str">
        <x:v>16744448</x:v>
      </x:c>
      <x:c r="C140" t="str">
        <x:v>F19</x:v>
      </x:c>
      <x:c r="D140" t="str">
        <x:v>Sample 139</x:v>
      </x:c>
      <x:c r="E140"/>
      <x:c r="F140"/>
      <x:c r="G140" t="str"/>
    </x:row>
    <x:row r="141">
      <x:c r="A141" t="str">
        <x:v>True</x:v>
      </x:c>
      <x:c r="B141" t="str">
        <x:v>16744448</x:v>
      </x:c>
      <x:c r="C141" t="str">
        <x:v>F20</x:v>
      </x:c>
      <x:c r="D141" t="str">
        <x:v>Sample 140</x:v>
      </x:c>
      <x:c r="E141"/>
      <x:c r="F141"/>
      <x:c r="G141" t="str"/>
    </x:row>
    <x:row r="142">
      <x:c r="A142" t="str">
        <x:v>True</x:v>
      </x:c>
      <x:c r="B142" t="str">
        <x:v>16744448</x:v>
      </x:c>
      <x:c r="C142" t="str">
        <x:v>F21</x:v>
      </x:c>
      <x:c r="D142" t="str">
        <x:v>Sample 141</x:v>
      </x:c>
      <x:c r="E142"/>
      <x:c r="F142"/>
      <x:c r="G142" t="str"/>
    </x:row>
    <x:row r="143">
      <x:c r="A143" t="str">
        <x:v>True</x:v>
      </x:c>
      <x:c r="B143" t="str">
        <x:v>16744448</x:v>
      </x:c>
      <x:c r="C143" t="str">
        <x:v>F22</x:v>
      </x:c>
      <x:c r="D143" t="str">
        <x:v>Sample 142</x:v>
      </x:c>
      <x:c r="E143"/>
      <x:c r="F143"/>
      <x:c r="G143" t="str"/>
    </x:row>
    <x:row r="144">
      <x:c r="A144" t="str">
        <x:v>True</x:v>
      </x:c>
      <x:c r="B144" t="str">
        <x:v>16744448</x:v>
      </x:c>
      <x:c r="C144" t="str">
        <x:v>F23</x:v>
      </x:c>
      <x:c r="D144" t="str">
        <x:v>Sample 143</x:v>
      </x:c>
      <x:c r="E144"/>
      <x:c r="F144"/>
      <x:c r="G144" t="str"/>
    </x:row>
    <x:row r="145">
      <x:c r="A145" t="str">
        <x:v>True</x:v>
      </x:c>
      <x:c r="B145" t="str">
        <x:v>16744448</x:v>
      </x:c>
      <x:c r="C145" t="str">
        <x:v>F24</x:v>
      </x:c>
      <x:c r="D145" t="str">
        <x:v>Sample 144</x:v>
      </x:c>
      <x:c r="E145"/>
      <x:c r="F145"/>
      <x:c r="G145" t="str"/>
    </x:row>
    <x:row r="146">
      <x:c r="A146" t="str">
        <x:v>True</x:v>
      </x:c>
      <x:c r="B146" t="str">
        <x:v>255</x:v>
      </x:c>
      <x:c r="C146" t="str">
        <x:v>G1</x:v>
      </x:c>
      <x:c r="D146" t="str">
        <x:v>Sample 145</x:v>
      </x:c>
      <x:c r="E146" t="n">
        <x:v>85.99</x:v>
      </x:c>
      <x:c r="F146"/>
      <x:c r="G146" t="str"/>
    </x:row>
    <x:row r="147">
      <x:c r="A147" t="str">
        <x:v>True</x:v>
      </x:c>
      <x:c r="B147" t="str">
        <x:v>255</x:v>
      </x:c>
      <x:c r="C147" t="str">
        <x:v>G2</x:v>
      </x:c>
      <x:c r="D147" t="str">
        <x:v>Sample 146</x:v>
      </x:c>
      <x:c r="E147" t="n">
        <x:v>86.01</x:v>
      </x:c>
      <x:c r="F147"/>
      <x:c r="G147" t="str"/>
    </x:row>
    <x:row r="148">
      <x:c r="A148" t="str">
        <x:v>True</x:v>
      </x:c>
      <x:c r="B148" t="str">
        <x:v>255</x:v>
      </x:c>
      <x:c r="C148" t="str">
        <x:v>G3</x:v>
      </x:c>
      <x:c r="D148" t="str">
        <x:v>Sample 147</x:v>
      </x:c>
      <x:c r="E148" t="n">
        <x:v>85.98</x:v>
      </x:c>
      <x:c r="F148"/>
      <x:c r="G148" t="str"/>
    </x:row>
    <x:row r="149">
      <x:c r="A149" t="str">
        <x:v>True</x:v>
      </x:c>
      <x:c r="B149" t="str">
        <x:v>255</x:v>
      </x:c>
      <x:c r="C149" t="str">
        <x:v>G4</x:v>
      </x:c>
      <x:c r="D149" t="str">
        <x:v>Sample 148</x:v>
      </x:c>
      <x:c r="E149" t="n">
        <x:v>86</x:v>
      </x:c>
      <x:c r="F149"/>
      <x:c r="G149" t="str"/>
    </x:row>
    <x:row r="150">
      <x:c r="A150" t="str">
        <x:v>True</x:v>
      </x:c>
      <x:c r="B150" t="str">
        <x:v>255</x:v>
      </x:c>
      <x:c r="C150" t="str">
        <x:v>G5</x:v>
      </x:c>
      <x:c r="D150" t="str">
        <x:v>Sample 149</x:v>
      </x:c>
      <x:c r="E150" t="n">
        <x:v>80.29</x:v>
      </x:c>
      <x:c r="F150"/>
      <x:c r="G150" t="str"/>
    </x:row>
    <x:row r="151">
      <x:c r="A151" t="str">
        <x:v>True</x:v>
      </x:c>
      <x:c r="B151" t="str">
        <x:v>255</x:v>
      </x:c>
      <x:c r="C151" t="str">
        <x:v>G6</x:v>
      </x:c>
      <x:c r="D151" t="str">
        <x:v>Sample 150</x:v>
      </x:c>
      <x:c r="E151" t="n">
        <x:v>80.36</x:v>
      </x:c>
      <x:c r="F151"/>
      <x:c r="G151" t="str"/>
    </x:row>
    <x:row r="152">
      <x:c r="A152" t="str">
        <x:v>True</x:v>
      </x:c>
      <x:c r="B152" t="str">
        <x:v>255</x:v>
      </x:c>
      <x:c r="C152" t="str">
        <x:v>G7</x:v>
      </x:c>
      <x:c r="D152" t="str">
        <x:v>Sample 151</x:v>
      </x:c>
      <x:c r="E152" t="n">
        <x:v>80.34</x:v>
      </x:c>
      <x:c r="F152"/>
      <x:c r="G152" t="str"/>
    </x:row>
    <x:row r="153">
      <x:c r="A153" t="str">
        <x:v>True</x:v>
      </x:c>
      <x:c r="B153" t="str">
        <x:v>255</x:v>
      </x:c>
      <x:c r="C153" t="str">
        <x:v>G8</x:v>
      </x:c>
      <x:c r="D153" t="str">
        <x:v>Sample 152</x:v>
      </x:c>
      <x:c r="E153" t="n">
        <x:v>80.28</x:v>
      </x:c>
      <x:c r="F153"/>
      <x:c r="G153" t="str"/>
    </x:row>
    <x:row r="154">
      <x:c r="A154" t="str">
        <x:v>True</x:v>
      </x:c>
      <x:c r="B154" t="str">
        <x:v>255</x:v>
      </x:c>
      <x:c r="C154" t="str">
        <x:v>G9</x:v>
      </x:c>
      <x:c r="D154" t="str">
        <x:v>Sample 153</x:v>
      </x:c>
      <x:c r="E154" t="n">
        <x:v>78.91</x:v>
      </x:c>
      <x:c r="F154"/>
      <x:c r="G154" t="str"/>
    </x:row>
    <x:row r="155">
      <x:c r="A155" t="str">
        <x:v>True</x:v>
      </x:c>
      <x:c r="B155" t="str">
        <x:v>255</x:v>
      </x:c>
      <x:c r="C155" t="str">
        <x:v>G10</x:v>
      </x:c>
      <x:c r="D155" t="str">
        <x:v>Sample 154</x:v>
      </x:c>
      <x:c r="E155" t="n">
        <x:v>79.12</x:v>
      </x:c>
      <x:c r="F155"/>
      <x:c r="G155" t="str"/>
    </x:row>
    <x:row r="156">
      <x:c r="A156" t="str">
        <x:v>True</x:v>
      </x:c>
      <x:c r="B156" t="str">
        <x:v>255</x:v>
      </x:c>
      <x:c r="C156" t="str">
        <x:v>G11</x:v>
      </x:c>
      <x:c r="D156" t="str">
        <x:v>Sample 155</x:v>
      </x:c>
      <x:c r="E156" t="n">
        <x:v>79.17</x:v>
      </x:c>
      <x:c r="F156"/>
      <x:c r="G156" t="str"/>
    </x:row>
    <x:row r="157">
      <x:c r="A157" t="str">
        <x:v>True</x:v>
      </x:c>
      <x:c r="B157" t="str">
        <x:v>255</x:v>
      </x:c>
      <x:c r="C157" t="str">
        <x:v>G12</x:v>
      </x:c>
      <x:c r="D157" t="str">
        <x:v>Sample 156</x:v>
      </x:c>
      <x:c r="E157" t="n">
        <x:v>79.16</x:v>
      </x:c>
      <x:c r="F157"/>
      <x:c r="G157" t="str"/>
    </x:row>
    <x:row r="158">
      <x:c r="A158" t="str">
        <x:v>True</x:v>
      </x:c>
      <x:c r="B158" t="str">
        <x:v>255</x:v>
      </x:c>
      <x:c r="C158" t="str">
        <x:v>G13</x:v>
      </x:c>
      <x:c r="D158" t="str">
        <x:v>Sample 157</x:v>
      </x:c>
      <x:c r="E158" t="n">
        <x:v>83.32</x:v>
      </x:c>
      <x:c r="F158"/>
      <x:c r="G158" t="str"/>
    </x:row>
    <x:row r="159">
      <x:c r="A159" t="str">
        <x:v>True</x:v>
      </x:c>
      <x:c r="B159" t="str">
        <x:v>255</x:v>
      </x:c>
      <x:c r="C159" t="str">
        <x:v>G14</x:v>
      </x:c>
      <x:c r="D159" t="str">
        <x:v>Sample 158</x:v>
      </x:c>
      <x:c r="E159" t="n">
        <x:v>83.13</x:v>
      </x:c>
      <x:c r="F159"/>
      <x:c r="G159" t="str"/>
    </x:row>
    <x:row r="160">
      <x:c r="A160" t="str">
        <x:v>True</x:v>
      </x:c>
      <x:c r="B160" t="str">
        <x:v>255</x:v>
      </x:c>
      <x:c r="C160" t="str">
        <x:v>G15</x:v>
      </x:c>
      <x:c r="D160" t="str">
        <x:v>Sample 159</x:v>
      </x:c>
      <x:c r="E160" t="n">
        <x:v>83.47</x:v>
      </x:c>
      <x:c r="F160"/>
      <x:c r="G160" t="str"/>
    </x:row>
    <x:row r="161">
      <x:c r="A161" t="str">
        <x:v>True</x:v>
      </x:c>
      <x:c r="B161" t="str">
        <x:v>255</x:v>
      </x:c>
      <x:c r="C161" t="str">
        <x:v>G16</x:v>
      </x:c>
      <x:c r="D161" t="str">
        <x:v>Sample 160</x:v>
      </x:c>
      <x:c r="E161" t="n">
        <x:v>83.44</x:v>
      </x:c>
      <x:c r="F161"/>
      <x:c r="G161" t="str"/>
    </x:row>
    <x:row r="162">
      <x:c r="A162" t="str">
        <x:v>True</x:v>
      </x:c>
      <x:c r="B162" t="str">
        <x:v>255</x:v>
      </x:c>
      <x:c r="C162" t="str">
        <x:v>G17</x:v>
      </x:c>
      <x:c r="D162" t="str">
        <x:v>Sample 161</x:v>
      </x:c>
      <x:c r="E162" t="n">
        <x:v>77.83</x:v>
      </x:c>
      <x:c r="F162"/>
      <x:c r="G162" t="str"/>
    </x:row>
    <x:row r="163">
      <x:c r="A163" t="str">
        <x:v>True</x:v>
      </x:c>
      <x:c r="B163" t="str">
        <x:v>255</x:v>
      </x:c>
      <x:c r="C163" t="str">
        <x:v>G18</x:v>
      </x:c>
      <x:c r="D163" t="str">
        <x:v>Sample 162</x:v>
      </x:c>
      <x:c r="E163" t="n">
        <x:v>77.94</x:v>
      </x:c>
      <x:c r="F163"/>
      <x:c r="G163" t="str"/>
    </x:row>
    <x:row r="164">
      <x:c r="A164" t="str">
        <x:v>True</x:v>
      </x:c>
      <x:c r="B164" t="str">
        <x:v>255</x:v>
      </x:c>
      <x:c r="C164" t="str">
        <x:v>G19</x:v>
      </x:c>
      <x:c r="D164" t="str">
        <x:v>Sample 163</x:v>
      </x:c>
      <x:c r="E164" t="n">
        <x:v>77.96</x:v>
      </x:c>
      <x:c r="F164"/>
      <x:c r="G164" t="str"/>
    </x:row>
    <x:row r="165">
      <x:c r="A165" t="str">
        <x:v>True</x:v>
      </x:c>
      <x:c r="B165" t="str">
        <x:v>255</x:v>
      </x:c>
      <x:c r="C165" t="str">
        <x:v>G20</x:v>
      </x:c>
      <x:c r="D165" t="str">
        <x:v>Sample 164</x:v>
      </x:c>
      <x:c r="E165" t="n">
        <x:v>77.97</x:v>
      </x:c>
      <x:c r="F165"/>
      <x:c r="G165" t="str"/>
    </x:row>
    <x:row r="166">
      <x:c r="A166" t="str">
        <x:v>True</x:v>
      </x:c>
      <x:c r="B166" t="str">
        <x:v>255</x:v>
      </x:c>
      <x:c r="C166" t="str">
        <x:v>G21</x:v>
      </x:c>
      <x:c r="D166" t="str">
        <x:v>Sample 165</x:v>
      </x:c>
      <x:c r="E166" t="n">
        <x:v>73.3</x:v>
      </x:c>
      <x:c r="F166"/>
      <x:c r="G166" t="str"/>
    </x:row>
    <x:row r="167">
      <x:c r="A167" t="str">
        <x:v>True</x:v>
      </x:c>
      <x:c r="B167" t="str">
        <x:v>255</x:v>
      </x:c>
      <x:c r="C167" t="str">
        <x:v>G22</x:v>
      </x:c>
      <x:c r="D167" t="str">
        <x:v>Sample 166</x:v>
      </x:c>
      <x:c r="E167" t="n">
        <x:v>73.18</x:v>
      </x:c>
      <x:c r="F167"/>
      <x:c r="G167" t="str"/>
    </x:row>
    <x:row r="168">
      <x:c r="A168" t="str">
        <x:v>True</x:v>
      </x:c>
      <x:c r="B168" t="str">
        <x:v>255</x:v>
      </x:c>
      <x:c r="C168" t="str">
        <x:v>G23</x:v>
      </x:c>
      <x:c r="D168" t="str">
        <x:v>Sample 167</x:v>
      </x:c>
      <x:c r="E168" t="n">
        <x:v>73.1</x:v>
      </x:c>
      <x:c r="F168"/>
      <x:c r="G168" t="str"/>
    </x:row>
    <x:row r="169">
      <x:c r="A169" t="str">
        <x:v>True</x:v>
      </x:c>
      <x:c r="B169" t="str">
        <x:v>255</x:v>
      </x:c>
      <x:c r="C169" t="str">
        <x:v>G24</x:v>
      </x:c>
      <x:c r="D169" t="str">
        <x:v>Sample 168</x:v>
      </x:c>
      <x:c r="E169" t="n">
        <x:v>73.2</x:v>
      </x:c>
      <x:c r="F169"/>
      <x:c r="G169" t="str"/>
    </x:row>
    <x:row r="170">
      <x:c r="A170" t="str">
        <x:v>True</x:v>
      </x:c>
      <x:c r="B170" t="str">
        <x:v>16744448</x:v>
      </x:c>
      <x:c r="C170" t="str">
        <x:v>H1</x:v>
      </x:c>
      <x:c r="D170" t="str">
        <x:v>Sample 169</x:v>
      </x:c>
      <x:c r="E170"/>
      <x:c r="F170"/>
      <x:c r="G170" t="str"/>
    </x:row>
    <x:row r="171">
      <x:c r="A171" t="str">
        <x:v>True</x:v>
      </x:c>
      <x:c r="B171" t="str">
        <x:v>16744448</x:v>
      </x:c>
      <x:c r="C171" t="str">
        <x:v>H2</x:v>
      </x:c>
      <x:c r="D171" t="str">
        <x:v>Sample 170</x:v>
      </x:c>
      <x:c r="E171"/>
      <x:c r="F171"/>
      <x:c r="G171" t="str"/>
    </x:row>
    <x:row r="172">
      <x:c r="A172" t="str">
        <x:v>True</x:v>
      </x:c>
      <x:c r="B172" t="str">
        <x:v>16744448</x:v>
      </x:c>
      <x:c r="C172" t="str">
        <x:v>H3</x:v>
      </x:c>
      <x:c r="D172" t="str">
        <x:v>Sample 171</x:v>
      </x:c>
      <x:c r="E172"/>
      <x:c r="F172"/>
      <x:c r="G172" t="str"/>
    </x:row>
    <x:row r="173">
      <x:c r="A173" t="str">
        <x:v>True</x:v>
      </x:c>
      <x:c r="B173" t="str">
        <x:v>16744448</x:v>
      </x:c>
      <x:c r="C173" t="str">
        <x:v>H4</x:v>
      </x:c>
      <x:c r="D173" t="str">
        <x:v>Sample 172</x:v>
      </x:c>
      <x:c r="E173"/>
      <x:c r="F173"/>
      <x:c r="G173" t="str"/>
    </x:row>
    <x:row r="174">
      <x:c r="A174" t="str">
        <x:v>True</x:v>
      </x:c>
      <x:c r="B174" t="str">
        <x:v>16744448</x:v>
      </x:c>
      <x:c r="C174" t="str">
        <x:v>H5</x:v>
      </x:c>
      <x:c r="D174" t="str">
        <x:v>Sample 173</x:v>
      </x:c>
      <x:c r="E174"/>
      <x:c r="F174"/>
      <x:c r="G174" t="str"/>
    </x:row>
    <x:row r="175">
      <x:c r="A175" t="str">
        <x:v>True</x:v>
      </x:c>
      <x:c r="B175" t="str">
        <x:v>16744448</x:v>
      </x:c>
      <x:c r="C175" t="str">
        <x:v>H6</x:v>
      </x:c>
      <x:c r="D175" t="str">
        <x:v>Sample 174</x:v>
      </x:c>
      <x:c r="E175"/>
      <x:c r="F175"/>
      <x:c r="G175" t="str"/>
    </x:row>
    <x:row r="176">
      <x:c r="A176" t="str">
        <x:v>True</x:v>
      </x:c>
      <x:c r="B176" t="str">
        <x:v>16744448</x:v>
      </x:c>
      <x:c r="C176" t="str">
        <x:v>H7</x:v>
      </x:c>
      <x:c r="D176" t="str">
        <x:v>Sample 175</x:v>
      </x:c>
      <x:c r="E176"/>
      <x:c r="F176"/>
      <x:c r="G176" t="str"/>
    </x:row>
    <x:row r="177">
      <x:c r="A177" t="str">
        <x:v>True</x:v>
      </x:c>
      <x:c r="B177" t="str">
        <x:v>16744448</x:v>
      </x:c>
      <x:c r="C177" t="str">
        <x:v>H8</x:v>
      </x:c>
      <x:c r="D177" t="str">
        <x:v>Sample 176</x:v>
      </x:c>
      <x:c r="E177"/>
      <x:c r="F177"/>
      <x:c r="G177" t="str"/>
    </x:row>
    <x:row r="178">
      <x:c r="A178" t="str">
        <x:v>True</x:v>
      </x:c>
      <x:c r="B178" t="str">
        <x:v>16744448</x:v>
      </x:c>
      <x:c r="C178" t="str">
        <x:v>H9</x:v>
      </x:c>
      <x:c r="D178" t="str">
        <x:v>Sample 177</x:v>
      </x:c>
      <x:c r="E178"/>
      <x:c r="F178"/>
      <x:c r="G178" t="str"/>
    </x:row>
    <x:row r="179">
      <x:c r="A179" t="str">
        <x:v>True</x:v>
      </x:c>
      <x:c r="B179" t="str">
        <x:v>16744448</x:v>
      </x:c>
      <x:c r="C179" t="str">
        <x:v>H10</x:v>
      </x:c>
      <x:c r="D179" t="str">
        <x:v>Sample 178</x:v>
      </x:c>
      <x:c r="E179"/>
      <x:c r="F179"/>
      <x:c r="G179" t="str"/>
    </x:row>
    <x:row r="180">
      <x:c r="A180" t="str">
        <x:v>True</x:v>
      </x:c>
      <x:c r="B180" t="str">
        <x:v>16744448</x:v>
      </x:c>
      <x:c r="C180" t="str">
        <x:v>H11</x:v>
      </x:c>
      <x:c r="D180" t="str">
        <x:v>Sample 179</x:v>
      </x:c>
      <x:c r="E180"/>
      <x:c r="F180"/>
      <x:c r="G180" t="str"/>
    </x:row>
    <x:row r="181">
      <x:c r="A181" t="str">
        <x:v>True</x:v>
      </x:c>
      <x:c r="B181" t="str">
        <x:v>16744448</x:v>
      </x:c>
      <x:c r="C181" t="str">
        <x:v>H12</x:v>
      </x:c>
      <x:c r="D181" t="str">
        <x:v>Sample 180</x:v>
      </x:c>
      <x:c r="E181"/>
      <x:c r="F181"/>
      <x:c r="G181" t="str"/>
    </x:row>
    <x:row r="182">
      <x:c r="A182" t="str">
        <x:v>True</x:v>
      </x:c>
      <x:c r="B182" t="str">
        <x:v>16744448</x:v>
      </x:c>
      <x:c r="C182" t="str">
        <x:v>H13</x:v>
      </x:c>
      <x:c r="D182" t="str">
        <x:v>Sample 181</x:v>
      </x:c>
      <x:c r="E182"/>
      <x:c r="F182"/>
      <x:c r="G182" t="str"/>
    </x:row>
    <x:row r="183">
      <x:c r="A183" t="str">
        <x:v>True</x:v>
      </x:c>
      <x:c r="B183" t="str">
        <x:v>16744448</x:v>
      </x:c>
      <x:c r="C183" t="str">
        <x:v>H14</x:v>
      </x:c>
      <x:c r="D183" t="str">
        <x:v>Sample 182</x:v>
      </x:c>
      <x:c r="E183"/>
      <x:c r="F183"/>
      <x:c r="G183" t="str"/>
    </x:row>
    <x:row r="184">
      <x:c r="A184" t="str">
        <x:v>True</x:v>
      </x:c>
      <x:c r="B184" t="str">
        <x:v>16744448</x:v>
      </x:c>
      <x:c r="C184" t="str">
        <x:v>H15</x:v>
      </x:c>
      <x:c r="D184" t="str">
        <x:v>Sample 183</x:v>
      </x:c>
      <x:c r="E184"/>
      <x:c r="F184"/>
      <x:c r="G184" t="str"/>
    </x:row>
    <x:row r="185">
      <x:c r="A185" t="str">
        <x:v>True</x:v>
      </x:c>
      <x:c r="B185" t="str">
        <x:v>16744448</x:v>
      </x:c>
      <x:c r="C185" t="str">
        <x:v>H16</x:v>
      </x:c>
      <x:c r="D185" t="str">
        <x:v>Sample 184</x:v>
      </x:c>
      <x:c r="E185"/>
      <x:c r="F185"/>
      <x:c r="G185" t="str"/>
    </x:row>
    <x:row r="186">
      <x:c r="A186" t="str">
        <x:v>True</x:v>
      </x:c>
      <x:c r="B186" t="str">
        <x:v>16744448</x:v>
      </x:c>
      <x:c r="C186" t="str">
        <x:v>H17</x:v>
      </x:c>
      <x:c r="D186" t="str">
        <x:v>Sample 185</x:v>
      </x:c>
      <x:c r="E186"/>
      <x:c r="F186"/>
      <x:c r="G186" t="str"/>
    </x:row>
    <x:row r="187">
      <x:c r="A187" t="str">
        <x:v>True</x:v>
      </x:c>
      <x:c r="B187" t="str">
        <x:v>16744448</x:v>
      </x:c>
      <x:c r="C187" t="str">
        <x:v>H18</x:v>
      </x:c>
      <x:c r="D187" t="str">
        <x:v>Sample 186</x:v>
      </x:c>
      <x:c r="E187"/>
      <x:c r="F187"/>
      <x:c r="G187" t="str"/>
    </x:row>
    <x:row r="188">
      <x:c r="A188" t="str">
        <x:v>True</x:v>
      </x:c>
      <x:c r="B188" t="str">
        <x:v>16744448</x:v>
      </x:c>
      <x:c r="C188" t="str">
        <x:v>H19</x:v>
      </x:c>
      <x:c r="D188" t="str">
        <x:v>Sample 187</x:v>
      </x:c>
      <x:c r="E188"/>
      <x:c r="F188"/>
      <x:c r="G188" t="str"/>
    </x:row>
    <x:row r="189">
      <x:c r="A189" t="str">
        <x:v>True</x:v>
      </x:c>
      <x:c r="B189" t="str">
        <x:v>16744448</x:v>
      </x:c>
      <x:c r="C189" t="str">
        <x:v>H20</x:v>
      </x:c>
      <x:c r="D189" t="str">
        <x:v>Sample 188</x:v>
      </x:c>
      <x:c r="E189"/>
      <x:c r="F189"/>
      <x:c r="G189" t="str"/>
    </x:row>
    <x:row r="190">
      <x:c r="A190" t="str">
        <x:v>True</x:v>
      </x:c>
      <x:c r="B190" t="str">
        <x:v>16744448</x:v>
      </x:c>
      <x:c r="C190" t="str">
        <x:v>H21</x:v>
      </x:c>
      <x:c r="D190" t="str">
        <x:v>Sample 189</x:v>
      </x:c>
      <x:c r="E190"/>
      <x:c r="F190"/>
      <x:c r="G190" t="str"/>
    </x:row>
    <x:row r="191">
      <x:c r="A191" t="str">
        <x:v>True</x:v>
      </x:c>
      <x:c r="B191" t="str">
        <x:v>16744448</x:v>
      </x:c>
      <x:c r="C191" t="str">
        <x:v>H22</x:v>
      </x:c>
      <x:c r="D191" t="str">
        <x:v>Sample 190</x:v>
      </x:c>
      <x:c r="E191"/>
      <x:c r="F191"/>
      <x:c r="G191" t="str"/>
    </x:row>
    <x:row r="192">
      <x:c r="A192" t="str">
        <x:v>True</x:v>
      </x:c>
      <x:c r="B192" t="str">
        <x:v>16744448</x:v>
      </x:c>
      <x:c r="C192" t="str">
        <x:v>H23</x:v>
      </x:c>
      <x:c r="D192" t="str">
        <x:v>Sample 191</x:v>
      </x:c>
      <x:c r="E192"/>
      <x:c r="F192"/>
      <x:c r="G192" t="str"/>
    </x:row>
    <x:row r="193">
      <x:c r="A193" t="str">
        <x:v>True</x:v>
      </x:c>
      <x:c r="B193" t="str">
        <x:v>16744448</x:v>
      </x:c>
      <x:c r="C193" t="str">
        <x:v>H24</x:v>
      </x:c>
      <x:c r="D193" t="str">
        <x:v>Sample 192</x:v>
      </x:c>
      <x:c r="E193"/>
      <x:c r="F193"/>
      <x:c r="G193" t="str"/>
    </x:row>
    <x:row r="194">
      <x:c r="A194" t="str">
        <x:v>True</x:v>
      </x:c>
      <x:c r="B194" t="str">
        <x:v>255</x:v>
      </x:c>
      <x:c r="C194" t="str">
        <x:v>I1</x:v>
      </x:c>
      <x:c r="D194" t="str">
        <x:v>Sample 193</x:v>
      </x:c>
      <x:c r="E194" t="n">
        <x:v>85.96</x:v>
      </x:c>
      <x:c r="F194"/>
      <x:c r="G194" t="str"/>
    </x:row>
    <x:row r="195">
      <x:c r="A195" t="str">
        <x:v>True</x:v>
      </x:c>
      <x:c r="B195" t="str">
        <x:v>255</x:v>
      </x:c>
      <x:c r="C195" t="str">
        <x:v>I2</x:v>
      </x:c>
      <x:c r="D195" t="str">
        <x:v>Sample 194</x:v>
      </x:c>
      <x:c r="E195" t="n">
        <x:v>86.02</x:v>
      </x:c>
      <x:c r="F195"/>
      <x:c r="G195" t="str"/>
    </x:row>
    <x:row r="196">
      <x:c r="A196" t="str">
        <x:v>True</x:v>
      </x:c>
      <x:c r="B196" t="str">
        <x:v>255</x:v>
      </x:c>
      <x:c r="C196" t="str">
        <x:v>I3</x:v>
      </x:c>
      <x:c r="D196" t="str">
        <x:v>Sample 195</x:v>
      </x:c>
      <x:c r="E196" t="n">
        <x:v>86.02</x:v>
      </x:c>
      <x:c r="F196"/>
      <x:c r="G196" t="str"/>
    </x:row>
    <x:row r="197">
      <x:c r="A197" t="str">
        <x:v>True</x:v>
      </x:c>
      <x:c r="B197" t="str">
        <x:v>255</x:v>
      </x:c>
      <x:c r="C197" t="str">
        <x:v>I4</x:v>
      </x:c>
      <x:c r="D197" t="str">
        <x:v>Sample 196</x:v>
      </x:c>
      <x:c r="E197" t="n">
        <x:v>86.01</x:v>
      </x:c>
      <x:c r="F197"/>
      <x:c r="G197" t="str"/>
    </x:row>
    <x:row r="198">
      <x:c r="A198" t="str">
        <x:v>True</x:v>
      </x:c>
      <x:c r="B198" t="str">
        <x:v>255</x:v>
      </x:c>
      <x:c r="C198" t="str">
        <x:v>I5</x:v>
      </x:c>
      <x:c r="D198" t="str">
        <x:v>Sample 197</x:v>
      </x:c>
      <x:c r="E198" t="n">
        <x:v>80.29</x:v>
      </x:c>
      <x:c r="F198"/>
      <x:c r="G198" t="str"/>
    </x:row>
    <x:row r="199">
      <x:c r="A199" t="str">
        <x:v>True</x:v>
      </x:c>
      <x:c r="B199" t="str">
        <x:v>255</x:v>
      </x:c>
      <x:c r="C199" t="str">
        <x:v>I6</x:v>
      </x:c>
      <x:c r="D199" t="str">
        <x:v>Sample 198</x:v>
      </x:c>
      <x:c r="E199" t="n">
        <x:v>80.36</x:v>
      </x:c>
      <x:c r="F199"/>
      <x:c r="G199" t="str"/>
    </x:row>
    <x:row r="200">
      <x:c r="A200" t="str">
        <x:v>True</x:v>
      </x:c>
      <x:c r="B200" t="str">
        <x:v>255</x:v>
      </x:c>
      <x:c r="C200" t="str">
        <x:v>I7</x:v>
      </x:c>
      <x:c r="D200" t="str">
        <x:v>Sample 199</x:v>
      </x:c>
      <x:c r="E200" t="n">
        <x:v>80.36</x:v>
      </x:c>
      <x:c r="F200"/>
      <x:c r="G200" t="str"/>
    </x:row>
    <x:row r="201">
      <x:c r="A201" t="str">
        <x:v>True</x:v>
      </x:c>
      <x:c r="B201" t="str">
        <x:v>255</x:v>
      </x:c>
      <x:c r="C201" t="str">
        <x:v>I8</x:v>
      </x:c>
      <x:c r="D201" t="str">
        <x:v>Sample 200</x:v>
      </x:c>
      <x:c r="E201" t="n">
        <x:v>80.32</x:v>
      </x:c>
      <x:c r="F201"/>
      <x:c r="G201" t="str"/>
    </x:row>
    <x:row r="202">
      <x:c r="A202" t="str">
        <x:v>True</x:v>
      </x:c>
      <x:c r="B202" t="str">
        <x:v>255</x:v>
      </x:c>
      <x:c r="C202" t="str">
        <x:v>I9</x:v>
      </x:c>
      <x:c r="D202" t="str">
        <x:v>Sample 201</x:v>
      </x:c>
      <x:c r="E202" t="n">
        <x:v>78.75</x:v>
      </x:c>
      <x:c r="F202"/>
      <x:c r="G202" t="str"/>
    </x:row>
    <x:row r="203">
      <x:c r="A203" t="str">
        <x:v>True</x:v>
      </x:c>
      <x:c r="B203" t="str">
        <x:v>255</x:v>
      </x:c>
      <x:c r="C203" t="str">
        <x:v>I10</x:v>
      </x:c>
      <x:c r="D203" t="str">
        <x:v>Sample 202</x:v>
      </x:c>
      <x:c r="E203" t="n">
        <x:v>79.07</x:v>
      </x:c>
      <x:c r="F203"/>
      <x:c r="G203" t="str"/>
    </x:row>
    <x:row r="204">
      <x:c r="A204" t="str">
        <x:v>True</x:v>
      </x:c>
      <x:c r="B204" t="str">
        <x:v>255</x:v>
      </x:c>
      <x:c r="C204" t="str">
        <x:v>I11</x:v>
      </x:c>
      <x:c r="D204" t="str">
        <x:v>Sample 203</x:v>
      </x:c>
      <x:c r="E204" t="n">
        <x:v>79.01</x:v>
      </x:c>
      <x:c r="F204"/>
      <x:c r="G204" t="str"/>
    </x:row>
    <x:row r="205">
      <x:c r="A205" t="str">
        <x:v>True</x:v>
      </x:c>
      <x:c r="B205" t="str">
        <x:v>255</x:v>
      </x:c>
      <x:c r="C205" t="str">
        <x:v>I12</x:v>
      </x:c>
      <x:c r="D205" t="str">
        <x:v>Sample 204</x:v>
      </x:c>
      <x:c r="E205" t="n">
        <x:v>78.93</x:v>
      </x:c>
      <x:c r="F205"/>
      <x:c r="G205" t="str"/>
    </x:row>
    <x:row r="206">
      <x:c r="A206" t="str">
        <x:v>True</x:v>
      </x:c>
      <x:c r="B206" t="str">
        <x:v>3200768</x:v>
      </x:c>
      <x:c r="C206" t="str">
        <x:v>I13</x:v>
      </x:c>
      <x:c r="D206" t="str">
        <x:v>Sample 205</x:v>
      </x:c>
      <x:c r="E206" t="n">
        <x:v>76.89</x:v>
      </x:c>
      <x:c r="F206" t="n">
        <x:v>82.89</x:v>
      </x:c>
      <x:c r="G206" t="str"/>
    </x:row>
    <x:row r="207">
      <x:c r="A207" t="str">
        <x:v>True</x:v>
      </x:c>
      <x:c r="B207" t="str">
        <x:v>3200768</x:v>
      </x:c>
      <x:c r="C207" t="str">
        <x:v>I14</x:v>
      </x:c>
      <x:c r="D207" t="str">
        <x:v>Sample 206</x:v>
      </x:c>
      <x:c r="E207" t="n">
        <x:v>76.06</x:v>
      </x:c>
      <x:c r="F207" t="n">
        <x:v>82.89</x:v>
      </x:c>
      <x:c r="G207" t="str"/>
    </x:row>
    <x:row r="208">
      <x:c r="A208" t="str">
        <x:v>True</x:v>
      </x:c>
      <x:c r="B208" t="str">
        <x:v>3200768</x:v>
      </x:c>
      <x:c r="C208" t="str">
        <x:v>I15</x:v>
      </x:c>
      <x:c r="D208" t="str">
        <x:v>Sample 207</x:v>
      </x:c>
      <x:c r="E208" t="n">
        <x:v>77.22</x:v>
      </x:c>
      <x:c r="F208" t="n">
        <x:v>83.09</x:v>
      </x:c>
      <x:c r="G208" t="str"/>
    </x:row>
    <x:row r="209">
      <x:c r="A209" t="str">
        <x:v>True</x:v>
      </x:c>
      <x:c r="B209" t="str">
        <x:v>3200768</x:v>
      </x:c>
      <x:c r="C209" t="str">
        <x:v>I16</x:v>
      </x:c>
      <x:c r="D209" t="str">
        <x:v>Sample 208</x:v>
      </x:c>
      <x:c r="E209" t="n">
        <x:v>76.25</x:v>
      </x:c>
      <x:c r="F209" t="n">
        <x:v>82.93</x:v>
      </x:c>
      <x:c r="G209" t="str"/>
    </x:row>
    <x:row r="210">
      <x:c r="A210" t="str">
        <x:v>True</x:v>
      </x:c>
      <x:c r="B210" t="str">
        <x:v>255</x:v>
      </x:c>
      <x:c r="C210" t="str">
        <x:v>I17</x:v>
      </x:c>
      <x:c r="D210" t="str">
        <x:v>Sample 209</x:v>
      </x:c>
      <x:c r="E210" t="n">
        <x:v>77.79</x:v>
      </x:c>
      <x:c r="F210"/>
      <x:c r="G210" t="str"/>
    </x:row>
    <x:row r="211">
      <x:c r="A211" t="str">
        <x:v>True</x:v>
      </x:c>
      <x:c r="B211" t="str">
        <x:v>255</x:v>
      </x:c>
      <x:c r="C211" t="str">
        <x:v>I18</x:v>
      </x:c>
      <x:c r="D211" t="str">
        <x:v>Sample 210</x:v>
      </x:c>
      <x:c r="E211" t="n">
        <x:v>77.91</x:v>
      </x:c>
      <x:c r="F211"/>
      <x:c r="G211" t="str"/>
    </x:row>
    <x:row r="212">
      <x:c r="A212" t="str">
        <x:v>True</x:v>
      </x:c>
      <x:c r="B212" t="str">
        <x:v>255</x:v>
      </x:c>
      <x:c r="C212" t="str">
        <x:v>I19</x:v>
      </x:c>
      <x:c r="D212" t="str">
        <x:v>Sample 211</x:v>
      </x:c>
      <x:c r="E212" t="n">
        <x:v>77.97</x:v>
      </x:c>
      <x:c r="F212"/>
      <x:c r="G212" t="str"/>
    </x:row>
    <x:row r="213">
      <x:c r="A213" t="str">
        <x:v>True</x:v>
      </x:c>
      <x:c r="B213" t="str">
        <x:v>255</x:v>
      </x:c>
      <x:c r="C213" t="str">
        <x:v>I20</x:v>
      </x:c>
      <x:c r="D213" t="str">
        <x:v>Sample 212</x:v>
      </x:c>
      <x:c r="E213" t="n">
        <x:v>77.99</x:v>
      </x:c>
      <x:c r="F213"/>
      <x:c r="G213" t="str"/>
    </x:row>
    <x:row r="214">
      <x:c r="A214" t="str">
        <x:v>True</x:v>
      </x:c>
      <x:c r="B214" t="str">
        <x:v>255</x:v>
      </x:c>
      <x:c r="C214" t="str">
        <x:v>I21</x:v>
      </x:c>
      <x:c r="D214" t="str">
        <x:v>Sample 213</x:v>
      </x:c>
      <x:c r="E214" t="n">
        <x:v>73.1</x:v>
      </x:c>
      <x:c r="F214"/>
      <x:c r="G214" t="str"/>
    </x:row>
    <x:row r="215">
      <x:c r="A215" t="str">
        <x:v>True</x:v>
      </x:c>
      <x:c r="B215" t="str">
        <x:v>255</x:v>
      </x:c>
      <x:c r="C215" t="str">
        <x:v>I22</x:v>
      </x:c>
      <x:c r="D215" t="str">
        <x:v>Sample 214</x:v>
      </x:c>
      <x:c r="E215" t="n">
        <x:v>73.19</x:v>
      </x:c>
      <x:c r="F215"/>
      <x:c r="G215" t="str"/>
    </x:row>
    <x:row r="216">
      <x:c r="A216" t="str">
        <x:v>True</x:v>
      </x:c>
      <x:c r="B216" t="str">
        <x:v>255</x:v>
      </x:c>
      <x:c r="C216" t="str">
        <x:v>I23</x:v>
      </x:c>
      <x:c r="D216" t="str">
        <x:v>Sample 215</x:v>
      </x:c>
      <x:c r="E216" t="n">
        <x:v>73.23</x:v>
      </x:c>
      <x:c r="F216"/>
      <x:c r="G216" t="str"/>
    </x:row>
    <x:row r="217">
      <x:c r="A217" t="str">
        <x:v>True</x:v>
      </x:c>
      <x:c r="B217" t="str">
        <x:v>255</x:v>
      </x:c>
      <x:c r="C217" t="str">
        <x:v>I24</x:v>
      </x:c>
      <x:c r="D217" t="str">
        <x:v>Sample 216</x:v>
      </x:c>
      <x:c r="E217" t="n">
        <x:v>73.15</x:v>
      </x:c>
      <x:c r="F217"/>
      <x:c r="G217" t="str"/>
    </x:row>
    <x:row r="218">
      <x:c r="A218" t="str">
        <x:v>True</x:v>
      </x:c>
      <x:c r="B218" t="str">
        <x:v>16744448</x:v>
      </x:c>
      <x:c r="C218" t="str">
        <x:v>J1</x:v>
      </x:c>
      <x:c r="D218" t="str">
        <x:v>Sample 217</x:v>
      </x:c>
      <x:c r="E218"/>
      <x:c r="F218"/>
      <x:c r="G218" t="str"/>
    </x:row>
    <x:row r="219">
      <x:c r="A219" t="str">
        <x:v>True</x:v>
      </x:c>
      <x:c r="B219" t="str">
        <x:v>16744448</x:v>
      </x:c>
      <x:c r="C219" t="str">
        <x:v>J2</x:v>
      </x:c>
      <x:c r="D219" t="str">
        <x:v>Sample 218</x:v>
      </x:c>
      <x:c r="E219"/>
      <x:c r="F219"/>
      <x:c r="G219" t="str"/>
    </x:row>
    <x:row r="220">
      <x:c r="A220" t="str">
        <x:v>True</x:v>
      </x:c>
      <x:c r="B220" t="str">
        <x:v>16744448</x:v>
      </x:c>
      <x:c r="C220" t="str">
        <x:v>J3</x:v>
      </x:c>
      <x:c r="D220" t="str">
        <x:v>Sample 219</x:v>
      </x:c>
      <x:c r="E220"/>
      <x:c r="F220"/>
      <x:c r="G220" t="str"/>
    </x:row>
    <x:row r="221">
      <x:c r="A221" t="str">
        <x:v>True</x:v>
      </x:c>
      <x:c r="B221" t="str">
        <x:v>16744448</x:v>
      </x:c>
      <x:c r="C221" t="str">
        <x:v>J4</x:v>
      </x:c>
      <x:c r="D221" t="str">
        <x:v>Sample 220</x:v>
      </x:c>
      <x:c r="E221"/>
      <x:c r="F221"/>
      <x:c r="G221" t="str"/>
    </x:row>
    <x:row r="222">
      <x:c r="A222" t="str">
        <x:v>True</x:v>
      </x:c>
      <x:c r="B222" t="str">
        <x:v>16744448</x:v>
      </x:c>
      <x:c r="C222" t="str">
        <x:v>J5</x:v>
      </x:c>
      <x:c r="D222" t="str">
        <x:v>Sample 221</x:v>
      </x:c>
      <x:c r="E222"/>
      <x:c r="F222"/>
      <x:c r="G222" t="str"/>
    </x:row>
    <x:row r="223">
      <x:c r="A223" t="str">
        <x:v>True</x:v>
      </x:c>
      <x:c r="B223" t="str">
        <x:v>16744448</x:v>
      </x:c>
      <x:c r="C223" t="str">
        <x:v>J6</x:v>
      </x:c>
      <x:c r="D223" t="str">
        <x:v>Sample 222</x:v>
      </x:c>
      <x:c r="E223"/>
      <x:c r="F223"/>
      <x:c r="G223" t="str"/>
    </x:row>
    <x:row r="224">
      <x:c r="A224" t="str">
        <x:v>True</x:v>
      </x:c>
      <x:c r="B224" t="str">
        <x:v>16744448</x:v>
      </x:c>
      <x:c r="C224" t="str">
        <x:v>J7</x:v>
      </x:c>
      <x:c r="D224" t="str">
        <x:v>Sample 223</x:v>
      </x:c>
      <x:c r="E224"/>
      <x:c r="F224"/>
      <x:c r="G224" t="str"/>
    </x:row>
    <x:row r="225">
      <x:c r="A225" t="str">
        <x:v>True</x:v>
      </x:c>
      <x:c r="B225" t="str">
        <x:v>16744448</x:v>
      </x:c>
      <x:c r="C225" t="str">
        <x:v>J8</x:v>
      </x:c>
      <x:c r="D225" t="str">
        <x:v>Sample 224</x:v>
      </x:c>
      <x:c r="E225"/>
      <x:c r="F225"/>
      <x:c r="G225" t="str"/>
    </x:row>
    <x:row r="226">
      <x:c r="A226" t="str">
        <x:v>True</x:v>
      </x:c>
      <x:c r="B226" t="str">
        <x:v>16744448</x:v>
      </x:c>
      <x:c r="C226" t="str">
        <x:v>J9</x:v>
      </x:c>
      <x:c r="D226" t="str">
        <x:v>Sample 225</x:v>
      </x:c>
      <x:c r="E226"/>
      <x:c r="F226"/>
      <x:c r="G226" t="str"/>
    </x:row>
    <x:row r="227">
      <x:c r="A227" t="str">
        <x:v>True</x:v>
      </x:c>
      <x:c r="B227" t="str">
        <x:v>16744448</x:v>
      </x:c>
      <x:c r="C227" t="str">
        <x:v>J10</x:v>
      </x:c>
      <x:c r="D227" t="str">
        <x:v>Sample 226</x:v>
      </x:c>
      <x:c r="E227"/>
      <x:c r="F227"/>
      <x:c r="G227" t="str"/>
    </x:row>
    <x:row r="228">
      <x:c r="A228" t="str">
        <x:v>True</x:v>
      </x:c>
      <x:c r="B228" t="str">
        <x:v>16744448</x:v>
      </x:c>
      <x:c r="C228" t="str">
        <x:v>J11</x:v>
      </x:c>
      <x:c r="D228" t="str">
        <x:v>Sample 227</x:v>
      </x:c>
      <x:c r="E228"/>
      <x:c r="F228"/>
      <x:c r="G228" t="str"/>
    </x:row>
    <x:row r="229">
      <x:c r="A229" t="str">
        <x:v>True</x:v>
      </x:c>
      <x:c r="B229" t="str">
        <x:v>16744448</x:v>
      </x:c>
      <x:c r="C229" t="str">
        <x:v>J12</x:v>
      </x:c>
      <x:c r="D229" t="str">
        <x:v>Sample 228</x:v>
      </x:c>
      <x:c r="E229"/>
      <x:c r="F229"/>
      <x:c r="G229" t="str"/>
    </x:row>
    <x:row r="230">
      <x:c r="A230" t="str">
        <x:v>True</x:v>
      </x:c>
      <x:c r="B230" t="str">
        <x:v>16744448</x:v>
      </x:c>
      <x:c r="C230" t="str">
        <x:v>J13</x:v>
      </x:c>
      <x:c r="D230" t="str">
        <x:v>Sample 229</x:v>
      </x:c>
      <x:c r="E230"/>
      <x:c r="F230"/>
      <x:c r="G230" t="str"/>
    </x:row>
    <x:row r="231">
      <x:c r="A231" t="str">
        <x:v>True</x:v>
      </x:c>
      <x:c r="B231" t="str">
        <x:v>16744448</x:v>
      </x:c>
      <x:c r="C231" t="str">
        <x:v>J14</x:v>
      </x:c>
      <x:c r="D231" t="str">
        <x:v>Sample 230</x:v>
      </x:c>
      <x:c r="E231"/>
      <x:c r="F231"/>
      <x:c r="G231" t="str"/>
    </x:row>
    <x:row r="232">
      <x:c r="A232" t="str">
        <x:v>True</x:v>
      </x:c>
      <x:c r="B232" t="str">
        <x:v>16744448</x:v>
      </x:c>
      <x:c r="C232" t="str">
        <x:v>J15</x:v>
      </x:c>
      <x:c r="D232" t="str">
        <x:v>Sample 231</x:v>
      </x:c>
      <x:c r="E232"/>
      <x:c r="F232"/>
      <x:c r="G232" t="str"/>
    </x:row>
    <x:row r="233">
      <x:c r="A233" t="str">
        <x:v>True</x:v>
      </x:c>
      <x:c r="B233" t="str">
        <x:v>16744448</x:v>
      </x:c>
      <x:c r="C233" t="str">
        <x:v>J16</x:v>
      </x:c>
      <x:c r="D233" t="str">
        <x:v>Sample 232</x:v>
      </x:c>
      <x:c r="E233"/>
      <x:c r="F233"/>
      <x:c r="G233" t="str"/>
    </x:row>
    <x:row r="234">
      <x:c r="A234" t="str">
        <x:v>True</x:v>
      </x:c>
      <x:c r="B234" t="str">
        <x:v>16744448</x:v>
      </x:c>
      <x:c r="C234" t="str">
        <x:v>J17</x:v>
      </x:c>
      <x:c r="D234" t="str">
        <x:v>Sample 233</x:v>
      </x:c>
      <x:c r="E234"/>
      <x:c r="F234"/>
      <x:c r="G234" t="str"/>
    </x:row>
    <x:row r="235">
      <x:c r="A235" t="str">
        <x:v>True</x:v>
      </x:c>
      <x:c r="B235" t="str">
        <x:v>16744448</x:v>
      </x:c>
      <x:c r="C235" t="str">
        <x:v>J18</x:v>
      </x:c>
      <x:c r="D235" t="str">
        <x:v>Sample 234</x:v>
      </x:c>
      <x:c r="E235"/>
      <x:c r="F235"/>
      <x:c r="G235" t="str"/>
    </x:row>
    <x:row r="236">
      <x:c r="A236" t="str">
        <x:v>True</x:v>
      </x:c>
      <x:c r="B236" t="str">
        <x:v>16744448</x:v>
      </x:c>
      <x:c r="C236" t="str">
        <x:v>J19</x:v>
      </x:c>
      <x:c r="D236" t="str">
        <x:v>Sample 235</x:v>
      </x:c>
      <x:c r="E236"/>
      <x:c r="F236"/>
      <x:c r="G236" t="str"/>
    </x:row>
    <x:row r="237">
      <x:c r="A237" t="str">
        <x:v>True</x:v>
      </x:c>
      <x:c r="B237" t="str">
        <x:v>16744448</x:v>
      </x:c>
      <x:c r="C237" t="str">
        <x:v>J20</x:v>
      </x:c>
      <x:c r="D237" t="str">
        <x:v>Sample 236</x:v>
      </x:c>
      <x:c r="E237"/>
      <x:c r="F237"/>
      <x:c r="G237" t="str"/>
    </x:row>
    <x:row r="238">
      <x:c r="A238" t="str">
        <x:v>True</x:v>
      </x:c>
      <x:c r="B238" t="str">
        <x:v>16744448</x:v>
      </x:c>
      <x:c r="C238" t="str">
        <x:v>J21</x:v>
      </x:c>
      <x:c r="D238" t="str">
        <x:v>Sample 237</x:v>
      </x:c>
      <x:c r="E238"/>
      <x:c r="F238"/>
      <x:c r="G238" t="str"/>
    </x:row>
    <x:row r="239">
      <x:c r="A239" t="str">
        <x:v>True</x:v>
      </x:c>
      <x:c r="B239" t="str">
        <x:v>16744448</x:v>
      </x:c>
      <x:c r="C239" t="str">
        <x:v>J22</x:v>
      </x:c>
      <x:c r="D239" t="str">
        <x:v>Sample 238</x:v>
      </x:c>
      <x:c r="E239"/>
      <x:c r="F239"/>
      <x:c r="G239" t="str"/>
    </x:row>
    <x:row r="240">
      <x:c r="A240" t="str">
        <x:v>True</x:v>
      </x:c>
      <x:c r="B240" t="str">
        <x:v>16744448</x:v>
      </x:c>
      <x:c r="C240" t="str">
        <x:v>J23</x:v>
      </x:c>
      <x:c r="D240" t="str">
        <x:v>Sample 239</x:v>
      </x:c>
      <x:c r="E240"/>
      <x:c r="F240"/>
      <x:c r="G240" t="str"/>
    </x:row>
    <x:row r="241">
      <x:c r="A241" t="str">
        <x:v>True</x:v>
      </x:c>
      <x:c r="B241" t="str">
        <x:v>16744448</x:v>
      </x:c>
      <x:c r="C241" t="str">
        <x:v>J24</x:v>
      </x:c>
      <x:c r="D241" t="str">
        <x:v>Sample 240</x:v>
      </x:c>
      <x:c r="E241"/>
      <x:c r="F241"/>
      <x:c r="G241" t="str"/>
    </x:row>
    <x:row r="242">
      <x:c r="A242" t="str">
        <x:v>True</x:v>
      </x:c>
      <x:c r="B242" t="str">
        <x:v>255</x:v>
      </x:c>
      <x:c r="C242" t="str">
        <x:v>K1</x:v>
      </x:c>
      <x:c r="D242" t="str">
        <x:v>Sample 241</x:v>
      </x:c>
      <x:c r="E242" t="n">
        <x:v>86.02</x:v>
      </x:c>
      <x:c r="F242"/>
      <x:c r="G242" t="str"/>
    </x:row>
    <x:row r="243">
      <x:c r="A243" t="str">
        <x:v>True</x:v>
      </x:c>
      <x:c r="B243" t="str">
        <x:v>255</x:v>
      </x:c>
      <x:c r="C243" t="str">
        <x:v>K2</x:v>
      </x:c>
      <x:c r="D243" t="str">
        <x:v>Sample 242</x:v>
      </x:c>
      <x:c r="E243" t="n">
        <x:v>86.02</x:v>
      </x:c>
      <x:c r="F243"/>
      <x:c r="G243" t="str"/>
    </x:row>
    <x:row r="244">
      <x:c r="A244" t="str">
        <x:v>True</x:v>
      </x:c>
      <x:c r="B244" t="str">
        <x:v>255</x:v>
      </x:c>
      <x:c r="C244" t="str">
        <x:v>K3</x:v>
      </x:c>
      <x:c r="D244" t="str">
        <x:v>Sample 243</x:v>
      </x:c>
      <x:c r="E244" t="n">
        <x:v>86.01</x:v>
      </x:c>
      <x:c r="F244"/>
      <x:c r="G244" t="str"/>
    </x:row>
    <x:row r="245">
      <x:c r="A245" t="str">
        <x:v>True</x:v>
      </x:c>
      <x:c r="B245" t="str">
        <x:v>255</x:v>
      </x:c>
      <x:c r="C245" t="str">
        <x:v>K4</x:v>
      </x:c>
      <x:c r="D245" t="str">
        <x:v>Sample 244</x:v>
      </x:c>
      <x:c r="E245" t="n">
        <x:v>86.02</x:v>
      </x:c>
      <x:c r="F245"/>
      <x:c r="G245" t="str"/>
    </x:row>
    <x:row r="246">
      <x:c r="A246" t="str">
        <x:v>True</x:v>
      </x:c>
      <x:c r="B246" t="str">
        <x:v>255</x:v>
      </x:c>
      <x:c r="C246" t="str">
        <x:v>K5</x:v>
      </x:c>
      <x:c r="D246" t="str">
        <x:v>Sample 245</x:v>
      </x:c>
      <x:c r="E246" t="n">
        <x:v>80.29</x:v>
      </x:c>
      <x:c r="F246"/>
      <x:c r="G246" t="str"/>
    </x:row>
    <x:row r="247">
      <x:c r="A247" t="str">
        <x:v>True</x:v>
      </x:c>
      <x:c r="B247" t="str">
        <x:v>255</x:v>
      </x:c>
      <x:c r="C247" t="str">
        <x:v>K6</x:v>
      </x:c>
      <x:c r="D247" t="str">
        <x:v>Sample 246</x:v>
      </x:c>
      <x:c r="E247" t="n">
        <x:v>80.34</x:v>
      </x:c>
      <x:c r="F247"/>
      <x:c r="G247" t="str"/>
    </x:row>
    <x:row r="248">
      <x:c r="A248" t="str">
        <x:v>True</x:v>
      </x:c>
      <x:c r="B248" t="str">
        <x:v>255</x:v>
      </x:c>
      <x:c r="C248" t="str">
        <x:v>K7</x:v>
      </x:c>
      <x:c r="D248" t="str">
        <x:v>Sample 247</x:v>
      </x:c>
      <x:c r="E248" t="n">
        <x:v>80.31</x:v>
      </x:c>
      <x:c r="F248"/>
      <x:c r="G248" t="str"/>
    </x:row>
    <x:row r="249">
      <x:c r="A249" t="str">
        <x:v>True</x:v>
      </x:c>
      <x:c r="B249" t="str">
        <x:v>255</x:v>
      </x:c>
      <x:c r="C249" t="str">
        <x:v>K8</x:v>
      </x:c>
      <x:c r="D249" t="str">
        <x:v>Sample 248</x:v>
      </x:c>
      <x:c r="E249" t="n">
        <x:v>80.29</x:v>
      </x:c>
      <x:c r="F249"/>
      <x:c r="G249" t="str"/>
    </x:row>
    <x:row r="250">
      <x:c r="A250" t="str">
        <x:v>True</x:v>
      </x:c>
      <x:c r="B250" t="str">
        <x:v>255</x:v>
      </x:c>
      <x:c r="C250" t="str">
        <x:v>K9</x:v>
      </x:c>
      <x:c r="D250" t="str">
        <x:v>Sample 249</x:v>
      </x:c>
      <x:c r="E250" t="n">
        <x:v>78.75</x:v>
      </x:c>
      <x:c r="F250"/>
      <x:c r="G250" t="str"/>
    </x:row>
    <x:row r="251">
      <x:c r="A251" t="str">
        <x:v>True</x:v>
      </x:c>
      <x:c r="B251" t="str">
        <x:v>255</x:v>
      </x:c>
      <x:c r="C251" t="str">
        <x:v>K10</x:v>
      </x:c>
      <x:c r="D251" t="str">
        <x:v>Sample 250</x:v>
      </x:c>
      <x:c r="E251" t="n">
        <x:v>79.04</x:v>
      </x:c>
      <x:c r="F251"/>
      <x:c r="G251" t="str"/>
    </x:row>
    <x:row r="252">
      <x:c r="A252" t="str">
        <x:v>True</x:v>
      </x:c>
      <x:c r="B252" t="str">
        <x:v>255</x:v>
      </x:c>
      <x:c r="C252" t="str">
        <x:v>K11</x:v>
      </x:c>
      <x:c r="D252" t="str">
        <x:v>Sample 251</x:v>
      </x:c>
      <x:c r="E252" t="n">
        <x:v>78.9</x:v>
      </x:c>
      <x:c r="F252"/>
      <x:c r="G252" t="str"/>
    </x:row>
    <x:row r="253">
      <x:c r="A253" t="str">
        <x:v>True</x:v>
      </x:c>
      <x:c r="B253" t="str">
        <x:v>255</x:v>
      </x:c>
      <x:c r="C253" t="str">
        <x:v>K12</x:v>
      </x:c>
      <x:c r="D253" t="str">
        <x:v>Sample 252</x:v>
      </x:c>
      <x:c r="E253" t="n">
        <x:v>78.95</x:v>
      </x:c>
      <x:c r="F253"/>
      <x:c r="G253" t="str"/>
    </x:row>
    <x:row r="254">
      <x:c r="A254" t="str">
        <x:v>True</x:v>
      </x:c>
      <x:c r="B254" t="str">
        <x:v>3200768</x:v>
      </x:c>
      <x:c r="C254" t="str">
        <x:v>K13</x:v>
      </x:c>
      <x:c r="D254" t="str">
        <x:v>Sample 253</x:v>
      </x:c>
      <x:c r="E254" t="n">
        <x:v>75.26</x:v>
      </x:c>
      <x:c r="F254" t="n">
        <x:v>82.51</x:v>
      </x:c>
      <x:c r="G254" t="str"/>
    </x:row>
    <x:row r="255">
      <x:c r="A255" t="str">
        <x:v>True</x:v>
      </x:c>
      <x:c r="B255" t="str">
        <x:v>255</x:v>
      </x:c>
      <x:c r="C255" t="str">
        <x:v>K14</x:v>
      </x:c>
      <x:c r="D255" t="str">
        <x:v>Sample 254</x:v>
      </x:c>
      <x:c r="E255" t="n">
        <x:v>83.64</x:v>
      </x:c>
      <x:c r="F255"/>
      <x:c r="G255" t="str"/>
    </x:row>
    <x:row r="256">
      <x:c r="A256" t="str">
        <x:v>True</x:v>
      </x:c>
      <x:c r="B256" t="str">
        <x:v>3200768</x:v>
      </x:c>
      <x:c r="C256" t="str">
        <x:v>K15</x:v>
      </x:c>
      <x:c r="D256" t="str">
        <x:v>Sample 255</x:v>
      </x:c>
      <x:c r="E256" t="n">
        <x:v>75.7</x:v>
      </x:c>
      <x:c r="F256" t="n">
        <x:v>82.76</x:v>
      </x:c>
      <x:c r="G256" t="str"/>
    </x:row>
    <x:row r="257">
      <x:c r="A257" t="str">
        <x:v>True</x:v>
      </x:c>
      <x:c r="B257" t="str">
        <x:v>3200768</x:v>
      </x:c>
      <x:c r="C257" t="str">
        <x:v>K16</x:v>
      </x:c>
      <x:c r="D257" t="str">
        <x:v>Sample 256</x:v>
      </x:c>
      <x:c r="E257" t="n">
        <x:v>75.62</x:v>
      </x:c>
      <x:c r="F257" t="n">
        <x:v>82.8</x:v>
      </x:c>
      <x:c r="G257" t="str"/>
    </x:row>
    <x:row r="258">
      <x:c r="A258" t="str">
        <x:v>True</x:v>
      </x:c>
      <x:c r="B258" t="str">
        <x:v>255</x:v>
      </x:c>
      <x:c r="C258" t="str">
        <x:v>K17</x:v>
      </x:c>
      <x:c r="D258" t="str">
        <x:v>Sample 257</x:v>
      </x:c>
      <x:c r="E258" t="n">
        <x:v>77.7</x:v>
      </x:c>
      <x:c r="F258"/>
      <x:c r="G258" t="str"/>
    </x:row>
    <x:row r="259">
      <x:c r="A259" t="str">
        <x:v>True</x:v>
      </x:c>
      <x:c r="B259" t="str">
        <x:v>255</x:v>
      </x:c>
      <x:c r="C259" t="str">
        <x:v>K18</x:v>
      </x:c>
      <x:c r="D259" t="str">
        <x:v>Sample 258</x:v>
      </x:c>
      <x:c r="E259" t="n">
        <x:v>77.87</x:v>
      </x:c>
      <x:c r="F259"/>
      <x:c r="G259" t="str"/>
    </x:row>
    <x:row r="260">
      <x:c r="A260" t="str">
        <x:v>True</x:v>
      </x:c>
      <x:c r="B260" t="str">
        <x:v>255</x:v>
      </x:c>
      <x:c r="C260" t="str">
        <x:v>K19</x:v>
      </x:c>
      <x:c r="D260" t="str">
        <x:v>Sample 259</x:v>
      </x:c>
      <x:c r="E260" t="n">
        <x:v>77.94</x:v>
      </x:c>
      <x:c r="F260"/>
      <x:c r="G260" t="str"/>
    </x:row>
    <x:row r="261">
      <x:c r="A261" t="str">
        <x:v>True</x:v>
      </x:c>
      <x:c r="B261" t="str">
        <x:v>255</x:v>
      </x:c>
      <x:c r="C261" t="str">
        <x:v>K20</x:v>
      </x:c>
      <x:c r="D261" t="str">
        <x:v>Sample 260</x:v>
      </x:c>
      <x:c r="E261" t="n">
        <x:v>77.86</x:v>
      </x:c>
      <x:c r="F261"/>
      <x:c r="G261" t="str"/>
    </x:row>
    <x:row r="262">
      <x:c r="A262" t="str">
        <x:v>True</x:v>
      </x:c>
      <x:c r="B262" t="str">
        <x:v>255</x:v>
      </x:c>
      <x:c r="C262" t="str">
        <x:v>K21</x:v>
      </x:c>
      <x:c r="D262" t="str">
        <x:v>Sample 261</x:v>
      </x:c>
      <x:c r="E262" t="n">
        <x:v>73.15</x:v>
      </x:c>
      <x:c r="F262"/>
      <x:c r="G262" t="str"/>
    </x:row>
    <x:row r="263">
      <x:c r="A263" t="str">
        <x:v>True</x:v>
      </x:c>
      <x:c r="B263" t="str">
        <x:v>255</x:v>
      </x:c>
      <x:c r="C263" t="str">
        <x:v>K22</x:v>
      </x:c>
      <x:c r="D263" t="str">
        <x:v>Sample 262</x:v>
      </x:c>
      <x:c r="E263" t="n">
        <x:v>73.21</x:v>
      </x:c>
      <x:c r="F263"/>
      <x:c r="G263" t="str"/>
    </x:row>
    <x:row r="264">
      <x:c r="A264" t="str">
        <x:v>True</x:v>
      </x:c>
      <x:c r="B264" t="str">
        <x:v>255</x:v>
      </x:c>
      <x:c r="C264" t="str">
        <x:v>K23</x:v>
      </x:c>
      <x:c r="D264" t="str">
        <x:v>Sample 263</x:v>
      </x:c>
      <x:c r="E264" t="n">
        <x:v>73.28</x:v>
      </x:c>
      <x:c r="F264"/>
      <x:c r="G264" t="str"/>
    </x:row>
    <x:row r="265">
      <x:c r="A265" t="str">
        <x:v>True</x:v>
      </x:c>
      <x:c r="B265" t="str">
        <x:v>255</x:v>
      </x:c>
      <x:c r="C265" t="str">
        <x:v>K24</x:v>
      </x:c>
      <x:c r="D265" t="str">
        <x:v>Sample 264</x:v>
      </x:c>
      <x:c r="E265" t="n">
        <x:v>73.18</x:v>
      </x:c>
      <x:c r="F265"/>
      <x:c r="G265" t="str"/>
    </x:row>
    <x:row r="266">
      <x:c r="A266" t="str">
        <x:v>True</x:v>
      </x:c>
      <x:c r="B266" t="str">
        <x:v>16744448</x:v>
      </x:c>
      <x:c r="C266" t="str">
        <x:v>L1</x:v>
      </x:c>
      <x:c r="D266" t="str">
        <x:v>Sample 265</x:v>
      </x:c>
      <x:c r="E266"/>
      <x:c r="F266"/>
      <x:c r="G266" t="str"/>
    </x:row>
    <x:row r="267">
      <x:c r="A267" t="str">
        <x:v>True</x:v>
      </x:c>
      <x:c r="B267" t="str">
        <x:v>16744448</x:v>
      </x:c>
      <x:c r="C267" t="str">
        <x:v>L2</x:v>
      </x:c>
      <x:c r="D267" t="str">
        <x:v>Sample 266</x:v>
      </x:c>
      <x:c r="E267"/>
      <x:c r="F267"/>
      <x:c r="G267" t="str"/>
    </x:row>
    <x:row r="268">
      <x:c r="A268" t="str">
        <x:v>True</x:v>
      </x:c>
      <x:c r="B268" t="str">
        <x:v>16744448</x:v>
      </x:c>
      <x:c r="C268" t="str">
        <x:v>L3</x:v>
      </x:c>
      <x:c r="D268" t="str">
        <x:v>Sample 267</x:v>
      </x:c>
      <x:c r="E268"/>
      <x:c r="F268"/>
      <x:c r="G268" t="str"/>
    </x:row>
    <x:row r="269">
      <x:c r="A269" t="str">
        <x:v>True</x:v>
      </x:c>
      <x:c r="B269" t="str">
        <x:v>16744448</x:v>
      </x:c>
      <x:c r="C269" t="str">
        <x:v>L4</x:v>
      </x:c>
      <x:c r="D269" t="str">
        <x:v>Sample 268</x:v>
      </x:c>
      <x:c r="E269"/>
      <x:c r="F269"/>
      <x:c r="G269" t="str"/>
    </x:row>
    <x:row r="270">
      <x:c r="A270" t="str">
        <x:v>True</x:v>
      </x:c>
      <x:c r="B270" t="str">
        <x:v>16744448</x:v>
      </x:c>
      <x:c r="C270" t="str">
        <x:v>L5</x:v>
      </x:c>
      <x:c r="D270" t="str">
        <x:v>Sample 269</x:v>
      </x:c>
      <x:c r="E270"/>
      <x:c r="F270"/>
      <x:c r="G270" t="str"/>
    </x:row>
    <x:row r="271">
      <x:c r="A271" t="str">
        <x:v>True</x:v>
      </x:c>
      <x:c r="B271" t="str">
        <x:v>16744448</x:v>
      </x:c>
      <x:c r="C271" t="str">
        <x:v>L6</x:v>
      </x:c>
      <x:c r="D271" t="str">
        <x:v>Sample 270</x:v>
      </x:c>
      <x:c r="E271"/>
      <x:c r="F271"/>
      <x:c r="G271" t="str"/>
    </x:row>
    <x:row r="272">
      <x:c r="A272" t="str">
        <x:v>True</x:v>
      </x:c>
      <x:c r="B272" t="str">
        <x:v>16744448</x:v>
      </x:c>
      <x:c r="C272" t="str">
        <x:v>L7</x:v>
      </x:c>
      <x:c r="D272" t="str">
        <x:v>Sample 271</x:v>
      </x:c>
      <x:c r="E272"/>
      <x:c r="F272"/>
      <x:c r="G272" t="str"/>
    </x:row>
    <x:row r="273">
      <x:c r="A273" t="str">
        <x:v>True</x:v>
      </x:c>
      <x:c r="B273" t="str">
        <x:v>16744448</x:v>
      </x:c>
      <x:c r="C273" t="str">
        <x:v>L8</x:v>
      </x:c>
      <x:c r="D273" t="str">
        <x:v>Sample 272</x:v>
      </x:c>
      <x:c r="E273"/>
      <x:c r="F273"/>
      <x:c r="G273" t="str"/>
    </x:row>
    <x:row r="274">
      <x:c r="A274" t="str">
        <x:v>True</x:v>
      </x:c>
      <x:c r="B274" t="str">
        <x:v>16744448</x:v>
      </x:c>
      <x:c r="C274" t="str">
        <x:v>L9</x:v>
      </x:c>
      <x:c r="D274" t="str">
        <x:v>Sample 273</x:v>
      </x:c>
      <x:c r="E274"/>
      <x:c r="F274"/>
      <x:c r="G274" t="str"/>
    </x:row>
    <x:row r="275">
      <x:c r="A275" t="str">
        <x:v>True</x:v>
      </x:c>
      <x:c r="B275" t="str">
        <x:v>16744448</x:v>
      </x:c>
      <x:c r="C275" t="str">
        <x:v>L10</x:v>
      </x:c>
      <x:c r="D275" t="str">
        <x:v>Sample 274</x:v>
      </x:c>
      <x:c r="E275"/>
      <x:c r="F275"/>
      <x:c r="G275" t="str"/>
    </x:row>
    <x:row r="276">
      <x:c r="A276" t="str">
        <x:v>True</x:v>
      </x:c>
      <x:c r="B276" t="str">
        <x:v>16744448</x:v>
      </x:c>
      <x:c r="C276" t="str">
        <x:v>L11</x:v>
      </x:c>
      <x:c r="D276" t="str">
        <x:v>Sample 275</x:v>
      </x:c>
      <x:c r="E276"/>
      <x:c r="F276"/>
      <x:c r="G276" t="str"/>
    </x:row>
    <x:row r="277">
      <x:c r="A277" t="str">
        <x:v>True</x:v>
      </x:c>
      <x:c r="B277" t="str">
        <x:v>16744448</x:v>
      </x:c>
      <x:c r="C277" t="str">
        <x:v>L12</x:v>
      </x:c>
      <x:c r="D277" t="str">
        <x:v>Sample 276</x:v>
      </x:c>
      <x:c r="E277"/>
      <x:c r="F277"/>
      <x:c r="G277" t="str"/>
    </x:row>
    <x:row r="278">
      <x:c r="A278" t="str">
        <x:v>True</x:v>
      </x:c>
      <x:c r="B278" t="str">
        <x:v>16744448</x:v>
      </x:c>
      <x:c r="C278" t="str">
        <x:v>L13</x:v>
      </x:c>
      <x:c r="D278" t="str">
        <x:v>Sample 277</x:v>
      </x:c>
      <x:c r="E278"/>
      <x:c r="F278"/>
      <x:c r="G278" t="str"/>
    </x:row>
    <x:row r="279">
      <x:c r="A279" t="str">
        <x:v>True</x:v>
      </x:c>
      <x:c r="B279" t="str">
        <x:v>16744448</x:v>
      </x:c>
      <x:c r="C279" t="str">
        <x:v>L14</x:v>
      </x:c>
      <x:c r="D279" t="str">
        <x:v>Sample 278</x:v>
      </x:c>
      <x:c r="E279"/>
      <x:c r="F279"/>
      <x:c r="G279" t="str"/>
    </x:row>
    <x:row r="280">
      <x:c r="A280" t="str">
        <x:v>True</x:v>
      </x:c>
      <x:c r="B280" t="str">
        <x:v>16744448</x:v>
      </x:c>
      <x:c r="C280" t="str">
        <x:v>L15</x:v>
      </x:c>
      <x:c r="D280" t="str">
        <x:v>Sample 279</x:v>
      </x:c>
      <x:c r="E280"/>
      <x:c r="F280"/>
      <x:c r="G280" t="str"/>
    </x:row>
    <x:row r="281">
      <x:c r="A281" t="str">
        <x:v>True</x:v>
      </x:c>
      <x:c r="B281" t="str">
        <x:v>16744448</x:v>
      </x:c>
      <x:c r="C281" t="str">
        <x:v>L16</x:v>
      </x:c>
      <x:c r="D281" t="str">
        <x:v>Sample 280</x:v>
      </x:c>
      <x:c r="E281"/>
      <x:c r="F281"/>
      <x:c r="G281" t="str"/>
    </x:row>
    <x:row r="282">
      <x:c r="A282" t="str">
        <x:v>True</x:v>
      </x:c>
      <x:c r="B282" t="str">
        <x:v>16744448</x:v>
      </x:c>
      <x:c r="C282" t="str">
        <x:v>L17</x:v>
      </x:c>
      <x:c r="D282" t="str">
        <x:v>Sample 281</x:v>
      </x:c>
      <x:c r="E282"/>
      <x:c r="F282"/>
      <x:c r="G282" t="str"/>
    </x:row>
    <x:row r="283">
      <x:c r="A283" t="str">
        <x:v>True</x:v>
      </x:c>
      <x:c r="B283" t="str">
        <x:v>16744448</x:v>
      </x:c>
      <x:c r="C283" t="str">
        <x:v>L18</x:v>
      </x:c>
      <x:c r="D283" t="str">
        <x:v>Sample 282</x:v>
      </x:c>
      <x:c r="E283"/>
      <x:c r="F283"/>
      <x:c r="G283" t="str"/>
    </x:row>
    <x:row r="284">
      <x:c r="A284" t="str">
        <x:v>True</x:v>
      </x:c>
      <x:c r="B284" t="str">
        <x:v>16744448</x:v>
      </x:c>
      <x:c r="C284" t="str">
        <x:v>L19</x:v>
      </x:c>
      <x:c r="D284" t="str">
        <x:v>Sample 283</x:v>
      </x:c>
      <x:c r="E284"/>
      <x:c r="F284"/>
      <x:c r="G284" t="str"/>
    </x:row>
    <x:row r="285">
      <x:c r="A285" t="str">
        <x:v>True</x:v>
      </x:c>
      <x:c r="B285" t="str">
        <x:v>16744448</x:v>
      </x:c>
      <x:c r="C285" t="str">
        <x:v>L20</x:v>
      </x:c>
      <x:c r="D285" t="str">
        <x:v>Sample 284</x:v>
      </x:c>
      <x:c r="E285"/>
      <x:c r="F285"/>
      <x:c r="G285" t="str"/>
    </x:row>
    <x:row r="286">
      <x:c r="A286" t="str">
        <x:v>True</x:v>
      </x:c>
      <x:c r="B286" t="str">
        <x:v>16744448</x:v>
      </x:c>
      <x:c r="C286" t="str">
        <x:v>L21</x:v>
      </x:c>
      <x:c r="D286" t="str">
        <x:v>Sample 285</x:v>
      </x:c>
      <x:c r="E286"/>
      <x:c r="F286"/>
      <x:c r="G286" t="str"/>
    </x:row>
    <x:row r="287">
      <x:c r="A287" t="str">
        <x:v>True</x:v>
      </x:c>
      <x:c r="B287" t="str">
        <x:v>16744448</x:v>
      </x:c>
      <x:c r="C287" t="str">
        <x:v>L22</x:v>
      </x:c>
      <x:c r="D287" t="str">
        <x:v>Sample 286</x:v>
      </x:c>
      <x:c r="E287"/>
      <x:c r="F287"/>
      <x:c r="G287" t="str"/>
    </x:row>
    <x:row r="288">
      <x:c r="A288" t="str">
        <x:v>True</x:v>
      </x:c>
      <x:c r="B288" t="str">
        <x:v>16744448</x:v>
      </x:c>
      <x:c r="C288" t="str">
        <x:v>L23</x:v>
      </x:c>
      <x:c r="D288" t="str">
        <x:v>Sample 287</x:v>
      </x:c>
      <x:c r="E288"/>
      <x:c r="F288"/>
      <x:c r="G288" t="str"/>
    </x:row>
    <x:row r="289">
      <x:c r="A289" t="str">
        <x:v>True</x:v>
      </x:c>
      <x:c r="B289" t="str">
        <x:v>16744448</x:v>
      </x:c>
      <x:c r="C289" t="str">
        <x:v>L24</x:v>
      </x:c>
      <x:c r="D289" t="str">
        <x:v>Sample 288</x:v>
      </x:c>
      <x:c r="E289"/>
      <x:c r="F289"/>
      <x:c r="G289" t="str"/>
    </x:row>
    <x:row r="290">
      <x:c r="A290" t="str">
        <x:v>True</x:v>
      </x:c>
      <x:c r="B290" t="str">
        <x:v>255</x:v>
      </x:c>
      <x:c r="C290" t="str">
        <x:v>M1</x:v>
      </x:c>
      <x:c r="D290" t="str">
        <x:v>Sample 289</x:v>
      </x:c>
      <x:c r="E290" t="n">
        <x:v>86.04</x:v>
      </x:c>
      <x:c r="F290"/>
      <x:c r="G290" t="str"/>
    </x:row>
    <x:row r="291">
      <x:c r="A291" t="str">
        <x:v>True</x:v>
      </x:c>
      <x:c r="B291" t="str">
        <x:v>255</x:v>
      </x:c>
      <x:c r="C291" t="str">
        <x:v>M2</x:v>
      </x:c>
      <x:c r="D291" t="str">
        <x:v>Sample 290</x:v>
      </x:c>
      <x:c r="E291" t="n">
        <x:v>86.05</x:v>
      </x:c>
      <x:c r="F291"/>
      <x:c r="G291" t="str"/>
    </x:row>
    <x:row r="292">
      <x:c r="A292" t="str">
        <x:v>True</x:v>
      </x:c>
      <x:c r="B292" t="str">
        <x:v>255</x:v>
      </x:c>
      <x:c r="C292" t="str">
        <x:v>M3</x:v>
      </x:c>
      <x:c r="D292" t="str">
        <x:v>Sample 291</x:v>
      </x:c>
      <x:c r="E292" t="n">
        <x:v>86.08</x:v>
      </x:c>
      <x:c r="F292"/>
      <x:c r="G292" t="str"/>
    </x:row>
    <x:row r="293">
      <x:c r="A293" t="str">
        <x:v>True</x:v>
      </x:c>
      <x:c r="B293" t="str">
        <x:v>255</x:v>
      </x:c>
      <x:c r="C293" t="str">
        <x:v>M4</x:v>
      </x:c>
      <x:c r="D293" t="str">
        <x:v>Sample 292</x:v>
      </x:c>
      <x:c r="E293" t="n">
        <x:v>86.06</x:v>
      </x:c>
      <x:c r="F293"/>
      <x:c r="G293" t="str"/>
    </x:row>
    <x:row r="294">
      <x:c r="A294" t="str">
        <x:v>True</x:v>
      </x:c>
      <x:c r="B294" t="str">
        <x:v>255</x:v>
      </x:c>
      <x:c r="C294" t="str">
        <x:v>M5</x:v>
      </x:c>
      <x:c r="D294" t="str">
        <x:v>Sample 293</x:v>
      </x:c>
      <x:c r="E294" t="n">
        <x:v>80.31</x:v>
      </x:c>
      <x:c r="F294"/>
      <x:c r="G294" t="str"/>
    </x:row>
    <x:row r="295">
      <x:c r="A295" t="str">
        <x:v>True</x:v>
      </x:c>
      <x:c r="B295" t="str">
        <x:v>255</x:v>
      </x:c>
      <x:c r="C295" t="str">
        <x:v>M6</x:v>
      </x:c>
      <x:c r="D295" t="str">
        <x:v>Sample 294</x:v>
      </x:c>
      <x:c r="E295" t="n">
        <x:v>80.3</x:v>
      </x:c>
      <x:c r="F295"/>
      <x:c r="G295" t="str"/>
    </x:row>
    <x:row r="296">
      <x:c r="A296" t="str">
        <x:v>True</x:v>
      </x:c>
      <x:c r="B296" t="str">
        <x:v>255</x:v>
      </x:c>
      <x:c r="C296" t="str">
        <x:v>M7</x:v>
      </x:c>
      <x:c r="D296" t="str">
        <x:v>Sample 295</x:v>
      </x:c>
      <x:c r="E296" t="n">
        <x:v>80.29</x:v>
      </x:c>
      <x:c r="F296"/>
      <x:c r="G296" t="str"/>
    </x:row>
    <x:row r="297">
      <x:c r="A297" t="str">
        <x:v>True</x:v>
      </x:c>
      <x:c r="B297" t="str">
        <x:v>255</x:v>
      </x:c>
      <x:c r="C297" t="str">
        <x:v>M8</x:v>
      </x:c>
      <x:c r="D297" t="str">
        <x:v>Sample 296</x:v>
      </x:c>
      <x:c r="E297" t="n">
        <x:v>80.29</x:v>
      </x:c>
      <x:c r="F297"/>
      <x:c r="G297" t="str"/>
    </x:row>
    <x:row r="298">
      <x:c r="A298" t="str">
        <x:v>True</x:v>
      </x:c>
      <x:c r="B298" t="str">
        <x:v>255</x:v>
      </x:c>
      <x:c r="C298" t="str">
        <x:v>M9</x:v>
      </x:c>
      <x:c r="D298" t="str">
        <x:v>Sample 297</x:v>
      </x:c>
      <x:c r="E298" t="n">
        <x:v>79.25</x:v>
      </x:c>
      <x:c r="F298"/>
      <x:c r="G298" t="str"/>
    </x:row>
    <x:row r="299">
      <x:c r="A299" t="str">
        <x:v>True</x:v>
      </x:c>
      <x:c r="B299" t="str">
        <x:v>255</x:v>
      </x:c>
      <x:c r="C299" t="str">
        <x:v>M10</x:v>
      </x:c>
      <x:c r="D299" t="str">
        <x:v>Sample 298</x:v>
      </x:c>
      <x:c r="E299" t="n">
        <x:v>79.35</x:v>
      </x:c>
      <x:c r="F299"/>
      <x:c r="G299" t="str"/>
    </x:row>
    <x:row r="300">
      <x:c r="A300" t="str">
        <x:v>True</x:v>
      </x:c>
      <x:c r="B300" t="str">
        <x:v>255</x:v>
      </x:c>
      <x:c r="C300" t="str">
        <x:v>M11</x:v>
      </x:c>
      <x:c r="D300" t="str">
        <x:v>Sample 299</x:v>
      </x:c>
      <x:c r="E300" t="n">
        <x:v>79.35</x:v>
      </x:c>
      <x:c r="F300"/>
      <x:c r="G300" t="str"/>
    </x:row>
    <x:row r="301">
      <x:c r="A301" t="str">
        <x:v>True</x:v>
      </x:c>
      <x:c r="B301" t="str">
        <x:v>255</x:v>
      </x:c>
      <x:c r="C301" t="str">
        <x:v>M12</x:v>
      </x:c>
      <x:c r="D301" t="str">
        <x:v>Sample 300</x:v>
      </x:c>
      <x:c r="E301" t="n">
        <x:v>79.3</x:v>
      </x:c>
      <x:c r="F301"/>
      <x:c r="G301" t="str"/>
    </x:row>
    <x:row r="302">
      <x:c r="A302" t="str">
        <x:v>True</x:v>
      </x:c>
      <x:c r="B302" t="str">
        <x:v>255</x:v>
      </x:c>
      <x:c r="C302" t="str">
        <x:v>M13</x:v>
      </x:c>
      <x:c r="D302" t="str">
        <x:v>Sample 301</x:v>
      </x:c>
      <x:c r="E302" t="n">
        <x:v>83.52</x:v>
      </x:c>
      <x:c r="F302"/>
      <x:c r="G302" t="str"/>
    </x:row>
    <x:row r="303">
      <x:c r="A303" t="str">
        <x:v>True</x:v>
      </x:c>
      <x:c r="B303" t="str">
        <x:v>255</x:v>
      </x:c>
      <x:c r="C303" t="str">
        <x:v>M14</x:v>
      </x:c>
      <x:c r="D303" t="str">
        <x:v>Sample 302</x:v>
      </x:c>
      <x:c r="E303" t="n">
        <x:v>83.54</x:v>
      </x:c>
      <x:c r="F303"/>
      <x:c r="G303" t="str"/>
    </x:row>
    <x:row r="304">
      <x:c r="A304" t="str">
        <x:v>True</x:v>
      </x:c>
      <x:c r="B304" t="str">
        <x:v>255</x:v>
      </x:c>
      <x:c r="C304" t="str">
        <x:v>M15</x:v>
      </x:c>
      <x:c r="D304" t="str">
        <x:v>Sample 303</x:v>
      </x:c>
      <x:c r="E304" t="n">
        <x:v>83.63</x:v>
      </x:c>
      <x:c r="F304"/>
      <x:c r="G304" t="str"/>
    </x:row>
    <x:row r="305">
      <x:c r="A305" t="str">
        <x:v>True</x:v>
      </x:c>
      <x:c r="B305" t="str">
        <x:v>255</x:v>
      </x:c>
      <x:c r="C305" t="str">
        <x:v>M16</x:v>
      </x:c>
      <x:c r="D305" t="str">
        <x:v>Sample 304</x:v>
      </x:c>
      <x:c r="E305" t="n">
        <x:v>83.65</x:v>
      </x:c>
      <x:c r="F305"/>
      <x:c r="G305" t="str"/>
    </x:row>
    <x:row r="306">
      <x:c r="A306" t="str">
        <x:v>True</x:v>
      </x:c>
      <x:c r="B306" t="str">
        <x:v>255</x:v>
      </x:c>
      <x:c r="C306" t="str">
        <x:v>M17</x:v>
      </x:c>
      <x:c r="D306" t="str">
        <x:v>Sample 305</x:v>
      </x:c>
      <x:c r="E306" t="n">
        <x:v>74.48</x:v>
      </x:c>
      <x:c r="F306"/>
      <x:c r="G306" t="str"/>
    </x:row>
    <x:row r="307">
      <x:c r="A307" t="str">
        <x:v>True</x:v>
      </x:c>
      <x:c r="B307" t="str">
        <x:v>255</x:v>
      </x:c>
      <x:c r="C307" t="str">
        <x:v>M18</x:v>
      </x:c>
      <x:c r="D307" t="str">
        <x:v>Sample 306</x:v>
      </x:c>
      <x:c r="E307" t="n">
        <x:v>76.06</x:v>
      </x:c>
      <x:c r="F307"/>
      <x:c r="G307" t="str"/>
    </x:row>
    <x:row r="308">
      <x:c r="A308" t="str">
        <x:v>True</x:v>
      </x:c>
      <x:c r="B308" t="str">
        <x:v>255</x:v>
      </x:c>
      <x:c r="C308" t="str">
        <x:v>M19</x:v>
      </x:c>
      <x:c r="D308" t="str">
        <x:v>Sample 307</x:v>
      </x:c>
      <x:c r="E308" t="n">
        <x:v>75.57</x:v>
      </x:c>
      <x:c r="F308"/>
      <x:c r="G308" t="str"/>
    </x:row>
    <x:row r="309">
      <x:c r="A309" t="str">
        <x:v>True</x:v>
      </x:c>
      <x:c r="B309" t="str">
        <x:v>255</x:v>
      </x:c>
      <x:c r="C309" t="str">
        <x:v>M20</x:v>
      </x:c>
      <x:c r="D309" t="str">
        <x:v>Sample 308</x:v>
      </x:c>
      <x:c r="E309" t="n">
        <x:v>76.22</x:v>
      </x:c>
      <x:c r="F309"/>
      <x:c r="G309" t="str"/>
    </x:row>
    <x:row r="310">
      <x:c r="A310" t="str">
        <x:v>True</x:v>
      </x:c>
      <x:c r="B310" t="str">
        <x:v>255</x:v>
      </x:c>
      <x:c r="C310" t="str">
        <x:v>M21</x:v>
      </x:c>
      <x:c r="D310" t="str">
        <x:v>Sample 309</x:v>
      </x:c>
      <x:c r="E310" t="n">
        <x:v>73.22</x:v>
      </x:c>
      <x:c r="F310"/>
      <x:c r="G310" t="str"/>
    </x:row>
    <x:row r="311">
      <x:c r="A311" t="str">
        <x:v>True</x:v>
      </x:c>
      <x:c r="B311" t="str">
        <x:v>255</x:v>
      </x:c>
      <x:c r="C311" t="str">
        <x:v>M22</x:v>
      </x:c>
      <x:c r="D311" t="str">
        <x:v>Sample 310</x:v>
      </x:c>
      <x:c r="E311" t="n">
        <x:v>73.23</x:v>
      </x:c>
      <x:c r="F311"/>
      <x:c r="G311" t="str"/>
    </x:row>
    <x:row r="312">
      <x:c r="A312" t="str">
        <x:v>True</x:v>
      </x:c>
      <x:c r="B312" t="str">
        <x:v>255</x:v>
      </x:c>
      <x:c r="C312" t="str">
        <x:v>M23</x:v>
      </x:c>
      <x:c r="D312" t="str">
        <x:v>Sample 311</x:v>
      </x:c>
      <x:c r="E312" t="n">
        <x:v>73.28</x:v>
      </x:c>
      <x:c r="F312"/>
      <x:c r="G312" t="str"/>
    </x:row>
    <x:row r="313">
      <x:c r="A313" t="str">
        <x:v>True</x:v>
      </x:c>
      <x:c r="B313" t="str">
        <x:v>255</x:v>
      </x:c>
      <x:c r="C313" t="str">
        <x:v>M24</x:v>
      </x:c>
      <x:c r="D313" t="str">
        <x:v>Sample 312</x:v>
      </x:c>
      <x:c r="E313" t="n">
        <x:v>73.25</x:v>
      </x:c>
      <x:c r="F313"/>
      <x:c r="G313" t="str"/>
    </x:row>
    <x:row r="314">
      <x:c r="A314" t="str">
        <x:v>True</x:v>
      </x:c>
      <x:c r="B314" t="str">
        <x:v>16744448</x:v>
      </x:c>
      <x:c r="C314" t="str">
        <x:v>N1</x:v>
      </x:c>
      <x:c r="D314" t="str">
        <x:v>Sample 313</x:v>
      </x:c>
      <x:c r="E314"/>
      <x:c r="F314"/>
      <x:c r="G314" t="str"/>
    </x:row>
    <x:row r="315">
      <x:c r="A315" t="str">
        <x:v>True</x:v>
      </x:c>
      <x:c r="B315" t="str">
        <x:v>16744448</x:v>
      </x:c>
      <x:c r="C315" t="str">
        <x:v>N2</x:v>
      </x:c>
      <x:c r="D315" t="str">
        <x:v>Sample 314</x:v>
      </x:c>
      <x:c r="E315"/>
      <x:c r="F315"/>
      <x:c r="G315" t="str"/>
    </x:row>
    <x:row r="316">
      <x:c r="A316" t="str">
        <x:v>True</x:v>
      </x:c>
      <x:c r="B316" t="str">
        <x:v>16744448</x:v>
      </x:c>
      <x:c r="C316" t="str">
        <x:v>N3</x:v>
      </x:c>
      <x:c r="D316" t="str">
        <x:v>Sample 315</x:v>
      </x:c>
      <x:c r="E316"/>
      <x:c r="F316"/>
      <x:c r="G316" t="str"/>
    </x:row>
    <x:row r="317">
      <x:c r="A317" t="str">
        <x:v>True</x:v>
      </x:c>
      <x:c r="B317" t="str">
        <x:v>16744448</x:v>
      </x:c>
      <x:c r="C317" t="str">
        <x:v>N4</x:v>
      </x:c>
      <x:c r="D317" t="str">
        <x:v>Sample 316</x:v>
      </x:c>
      <x:c r="E317"/>
      <x:c r="F317"/>
      <x:c r="G317" t="str"/>
    </x:row>
    <x:row r="318">
      <x:c r="A318" t="str">
        <x:v>True</x:v>
      </x:c>
      <x:c r="B318" t="str">
        <x:v>16744448</x:v>
      </x:c>
      <x:c r="C318" t="str">
        <x:v>N5</x:v>
      </x:c>
      <x:c r="D318" t="str">
        <x:v>Sample 317</x:v>
      </x:c>
      <x:c r="E318"/>
      <x:c r="F318"/>
      <x:c r="G318" t="str"/>
    </x:row>
    <x:row r="319">
      <x:c r="A319" t="str">
        <x:v>True</x:v>
      </x:c>
      <x:c r="B319" t="str">
        <x:v>16744448</x:v>
      </x:c>
      <x:c r="C319" t="str">
        <x:v>N6</x:v>
      </x:c>
      <x:c r="D319" t="str">
        <x:v>Sample 318</x:v>
      </x:c>
      <x:c r="E319"/>
      <x:c r="F319"/>
      <x:c r="G319" t="str"/>
    </x:row>
    <x:row r="320">
      <x:c r="A320" t="str">
        <x:v>True</x:v>
      </x:c>
      <x:c r="B320" t="str">
        <x:v>16744448</x:v>
      </x:c>
      <x:c r="C320" t="str">
        <x:v>N7</x:v>
      </x:c>
      <x:c r="D320" t="str">
        <x:v>Sample 319</x:v>
      </x:c>
      <x:c r="E320"/>
      <x:c r="F320"/>
      <x:c r="G320" t="str"/>
    </x:row>
    <x:row r="321">
      <x:c r="A321" t="str">
        <x:v>True</x:v>
      </x:c>
      <x:c r="B321" t="str">
        <x:v>16744448</x:v>
      </x:c>
      <x:c r="C321" t="str">
        <x:v>N8</x:v>
      </x:c>
      <x:c r="D321" t="str">
        <x:v>Sample 320</x:v>
      </x:c>
      <x:c r="E321"/>
      <x:c r="F321"/>
      <x:c r="G321" t="str"/>
    </x:row>
    <x:row r="322">
      <x:c r="A322" t="str">
        <x:v>True</x:v>
      </x:c>
      <x:c r="B322" t="str">
        <x:v>16744448</x:v>
      </x:c>
      <x:c r="C322" t="str">
        <x:v>N9</x:v>
      </x:c>
      <x:c r="D322" t="str">
        <x:v>Sample 321</x:v>
      </x:c>
      <x:c r="E322"/>
      <x:c r="F322"/>
      <x:c r="G322" t="str"/>
    </x:row>
    <x:row r="323">
      <x:c r="A323" t="str">
        <x:v>True</x:v>
      </x:c>
      <x:c r="B323" t="str">
        <x:v>16744448</x:v>
      </x:c>
      <x:c r="C323" t="str">
        <x:v>N10</x:v>
      </x:c>
      <x:c r="D323" t="str">
        <x:v>Sample 322</x:v>
      </x:c>
      <x:c r="E323"/>
      <x:c r="F323"/>
      <x:c r="G323" t="str"/>
    </x:row>
    <x:row r="324">
      <x:c r="A324" t="str">
        <x:v>True</x:v>
      </x:c>
      <x:c r="B324" t="str">
        <x:v>16744448</x:v>
      </x:c>
      <x:c r="C324" t="str">
        <x:v>N11</x:v>
      </x:c>
      <x:c r="D324" t="str">
        <x:v>Sample 323</x:v>
      </x:c>
      <x:c r="E324"/>
      <x:c r="F324"/>
      <x:c r="G324" t="str"/>
    </x:row>
    <x:row r="325">
      <x:c r="A325" t="str">
        <x:v>True</x:v>
      </x:c>
      <x:c r="B325" t="str">
        <x:v>16744448</x:v>
      </x:c>
      <x:c r="C325" t="str">
        <x:v>N12</x:v>
      </x:c>
      <x:c r="D325" t="str">
        <x:v>Sample 324</x:v>
      </x:c>
      <x:c r="E325"/>
      <x:c r="F325"/>
      <x:c r="G325" t="str"/>
    </x:row>
    <x:row r="326">
      <x:c r="A326" t="str">
        <x:v>True</x:v>
      </x:c>
      <x:c r="B326" t="str">
        <x:v>16744448</x:v>
      </x:c>
      <x:c r="C326" t="str">
        <x:v>N13</x:v>
      </x:c>
      <x:c r="D326" t="str">
        <x:v>Sample 325</x:v>
      </x:c>
      <x:c r="E326"/>
      <x:c r="F326"/>
      <x:c r="G326" t="str"/>
    </x:row>
    <x:row r="327">
      <x:c r="A327" t="str">
        <x:v>True</x:v>
      </x:c>
      <x:c r="B327" t="str">
        <x:v>16744448</x:v>
      </x:c>
      <x:c r="C327" t="str">
        <x:v>N14</x:v>
      </x:c>
      <x:c r="D327" t="str">
        <x:v>Sample 326</x:v>
      </x:c>
      <x:c r="E327"/>
      <x:c r="F327"/>
      <x:c r="G327" t="str"/>
    </x:row>
    <x:row r="328">
      <x:c r="A328" t="str">
        <x:v>True</x:v>
      </x:c>
      <x:c r="B328" t="str">
        <x:v>16744448</x:v>
      </x:c>
      <x:c r="C328" t="str">
        <x:v>N15</x:v>
      </x:c>
      <x:c r="D328" t="str">
        <x:v>Sample 327</x:v>
      </x:c>
      <x:c r="E328"/>
      <x:c r="F328"/>
      <x:c r="G328" t="str"/>
    </x:row>
    <x:row r="329">
      <x:c r="A329" t="str">
        <x:v>True</x:v>
      </x:c>
      <x:c r="B329" t="str">
        <x:v>16744448</x:v>
      </x:c>
      <x:c r="C329" t="str">
        <x:v>N16</x:v>
      </x:c>
      <x:c r="D329" t="str">
        <x:v>Sample 328</x:v>
      </x:c>
      <x:c r="E329"/>
      <x:c r="F329"/>
      <x:c r="G329" t="str"/>
    </x:row>
    <x:row r="330">
      <x:c r="A330" t="str">
        <x:v>True</x:v>
      </x:c>
      <x:c r="B330" t="str">
        <x:v>16744448</x:v>
      </x:c>
      <x:c r="C330" t="str">
        <x:v>N17</x:v>
      </x:c>
      <x:c r="D330" t="str">
        <x:v>Sample 329</x:v>
      </x:c>
      <x:c r="E330"/>
      <x:c r="F330"/>
      <x:c r="G330" t="str"/>
    </x:row>
    <x:row r="331">
      <x:c r="A331" t="str">
        <x:v>True</x:v>
      </x:c>
      <x:c r="B331" t="str">
        <x:v>16744448</x:v>
      </x:c>
      <x:c r="C331" t="str">
        <x:v>N18</x:v>
      </x:c>
      <x:c r="D331" t="str">
        <x:v>Sample 330</x:v>
      </x:c>
      <x:c r="E331"/>
      <x:c r="F331"/>
      <x:c r="G331" t="str"/>
    </x:row>
    <x:row r="332">
      <x:c r="A332" t="str">
        <x:v>True</x:v>
      </x:c>
      <x:c r="B332" t="str">
        <x:v>16744448</x:v>
      </x:c>
      <x:c r="C332" t="str">
        <x:v>N19</x:v>
      </x:c>
      <x:c r="D332" t="str">
        <x:v>Sample 331</x:v>
      </x:c>
      <x:c r="E332"/>
      <x:c r="F332"/>
      <x:c r="G332" t="str"/>
    </x:row>
    <x:row r="333">
      <x:c r="A333" t="str">
        <x:v>True</x:v>
      </x:c>
      <x:c r="B333" t="str">
        <x:v>16744448</x:v>
      </x:c>
      <x:c r="C333" t="str">
        <x:v>N20</x:v>
      </x:c>
      <x:c r="D333" t="str">
        <x:v>Sample 332</x:v>
      </x:c>
      <x:c r="E333"/>
      <x:c r="F333"/>
      <x:c r="G333" t="str"/>
    </x:row>
    <x:row r="334">
      <x:c r="A334" t="str">
        <x:v>True</x:v>
      </x:c>
      <x:c r="B334" t="str">
        <x:v>16744448</x:v>
      </x:c>
      <x:c r="C334" t="str">
        <x:v>N21</x:v>
      </x:c>
      <x:c r="D334" t="str">
        <x:v>Sample 333</x:v>
      </x:c>
      <x:c r="E334"/>
      <x:c r="F334"/>
      <x:c r="G334" t="str"/>
    </x:row>
    <x:row r="335">
      <x:c r="A335" t="str">
        <x:v>True</x:v>
      </x:c>
      <x:c r="B335" t="str">
        <x:v>16744448</x:v>
      </x:c>
      <x:c r="C335" t="str">
        <x:v>N22</x:v>
      </x:c>
      <x:c r="D335" t="str">
        <x:v>Sample 334</x:v>
      </x:c>
      <x:c r="E335"/>
      <x:c r="F335"/>
      <x:c r="G335" t="str"/>
    </x:row>
    <x:row r="336">
      <x:c r="A336" t="str">
        <x:v>True</x:v>
      </x:c>
      <x:c r="B336" t="str">
        <x:v>16744448</x:v>
      </x:c>
      <x:c r="C336" t="str">
        <x:v>N23</x:v>
      </x:c>
      <x:c r="D336" t="str">
        <x:v>Sample 335</x:v>
      </x:c>
      <x:c r="E336"/>
      <x:c r="F336"/>
      <x:c r="G336" t="str"/>
    </x:row>
    <x:row r="337">
      <x:c r="A337" t="str">
        <x:v>True</x:v>
      </x:c>
      <x:c r="B337" t="str">
        <x:v>16744448</x:v>
      </x:c>
      <x:c r="C337" t="str">
        <x:v>N24</x:v>
      </x:c>
      <x:c r="D337" t="str">
        <x:v>Sample 336</x:v>
      </x:c>
      <x:c r="E337"/>
      <x:c r="F337"/>
      <x:c r="G337" t="str"/>
    </x:row>
    <x:row r="338">
      <x:c r="A338" t="str">
        <x:v>True</x:v>
      </x:c>
      <x:c r="B338" t="str">
        <x:v>255</x:v>
      </x:c>
      <x:c r="C338" t="str">
        <x:v>O1</x:v>
      </x:c>
      <x:c r="D338" t="str">
        <x:v>Sample 337</x:v>
      </x:c>
      <x:c r="E338" t="n">
        <x:v>86.01</x:v>
      </x:c>
      <x:c r="F338"/>
      <x:c r="G338" t="str"/>
    </x:row>
    <x:row r="339">
      <x:c r="A339" t="str">
        <x:v>True</x:v>
      </x:c>
      <x:c r="B339" t="str">
        <x:v>255</x:v>
      </x:c>
      <x:c r="C339" t="str">
        <x:v>O2</x:v>
      </x:c>
      <x:c r="D339" t="str">
        <x:v>Sample 338</x:v>
      </x:c>
      <x:c r="E339" t="n">
        <x:v>86.08</x:v>
      </x:c>
      <x:c r="F339"/>
      <x:c r="G339" t="str"/>
    </x:row>
    <x:row r="340">
      <x:c r="A340" t="str">
        <x:v>True</x:v>
      </x:c>
      <x:c r="B340" t="str">
        <x:v>255</x:v>
      </x:c>
      <x:c r="C340" t="str">
        <x:v>O3</x:v>
      </x:c>
      <x:c r="D340" t="str">
        <x:v>Sample 339</x:v>
      </x:c>
      <x:c r="E340" t="n">
        <x:v>86.07</x:v>
      </x:c>
      <x:c r="F340"/>
      <x:c r="G340" t="str"/>
    </x:row>
    <x:row r="341">
      <x:c r="A341" t="str">
        <x:v>True</x:v>
      </x:c>
      <x:c r="B341" t="str">
        <x:v>255</x:v>
      </x:c>
      <x:c r="C341" t="str">
        <x:v>O4</x:v>
      </x:c>
      <x:c r="D341" t="str">
        <x:v>Sample 340</x:v>
      </x:c>
      <x:c r="E341" t="n">
        <x:v>86.03</x:v>
      </x:c>
      <x:c r="F341"/>
      <x:c r="G341" t="str"/>
    </x:row>
    <x:row r="342">
      <x:c r="A342" t="str">
        <x:v>True</x:v>
      </x:c>
      <x:c r="B342" t="str">
        <x:v>255</x:v>
      </x:c>
      <x:c r="C342" t="str">
        <x:v>O5</x:v>
      </x:c>
      <x:c r="D342" t="str">
        <x:v>Sample 341</x:v>
      </x:c>
      <x:c r="E342" t="n">
        <x:v>80.33</x:v>
      </x:c>
      <x:c r="F342"/>
      <x:c r="G342" t="str"/>
    </x:row>
    <x:row r="343">
      <x:c r="A343" t="str">
        <x:v>True</x:v>
      </x:c>
      <x:c r="B343" t="str">
        <x:v>255</x:v>
      </x:c>
      <x:c r="C343" t="str">
        <x:v>O6</x:v>
      </x:c>
      <x:c r="D343" t="str">
        <x:v>Sample 342</x:v>
      </x:c>
      <x:c r="E343" t="n">
        <x:v>80.28</x:v>
      </x:c>
      <x:c r="F343"/>
      <x:c r="G343" t="str"/>
    </x:row>
    <x:row r="344">
      <x:c r="A344" t="str">
        <x:v>True</x:v>
      </x:c>
      <x:c r="B344" t="str">
        <x:v>255</x:v>
      </x:c>
      <x:c r="C344" t="str">
        <x:v>O7</x:v>
      </x:c>
      <x:c r="D344" t="str">
        <x:v>Sample 343</x:v>
      </x:c>
      <x:c r="E344" t="n">
        <x:v>80.31</x:v>
      </x:c>
      <x:c r="F344"/>
      <x:c r="G344" t="str"/>
    </x:row>
    <x:row r="345">
      <x:c r="A345" t="str">
        <x:v>True</x:v>
      </x:c>
      <x:c r="B345" t="str">
        <x:v>255</x:v>
      </x:c>
      <x:c r="C345" t="str">
        <x:v>O8</x:v>
      </x:c>
      <x:c r="D345" t="str">
        <x:v>Sample 344</x:v>
      </x:c>
      <x:c r="E345" t="n">
        <x:v>80.18</x:v>
      </x:c>
      <x:c r="F345"/>
      <x:c r="G345" t="str"/>
    </x:row>
    <x:row r="346">
      <x:c r="A346" t="str">
        <x:v>True</x:v>
      </x:c>
      <x:c r="B346" t="str">
        <x:v>255</x:v>
      </x:c>
      <x:c r="C346" t="str">
        <x:v>O9</x:v>
      </x:c>
      <x:c r="D346" t="str">
        <x:v>Sample 345</x:v>
      </x:c>
      <x:c r="E346" t="n">
        <x:v>79.22</x:v>
      </x:c>
      <x:c r="F346"/>
      <x:c r="G346" t="str"/>
    </x:row>
    <x:row r="347">
      <x:c r="A347" t="str">
        <x:v>True</x:v>
      </x:c>
      <x:c r="B347" t="str">
        <x:v>255</x:v>
      </x:c>
      <x:c r="C347" t="str">
        <x:v>O10</x:v>
      </x:c>
      <x:c r="D347" t="str">
        <x:v>Sample 346</x:v>
      </x:c>
      <x:c r="E347" t="n">
        <x:v>79.34</x:v>
      </x:c>
      <x:c r="F347"/>
      <x:c r="G347" t="str"/>
    </x:row>
    <x:row r="348">
      <x:c r="A348" t="str">
        <x:v>True</x:v>
      </x:c>
      <x:c r="B348" t="str">
        <x:v>255</x:v>
      </x:c>
      <x:c r="C348" t="str">
        <x:v>O11</x:v>
      </x:c>
      <x:c r="D348" t="str">
        <x:v>Sample 347</x:v>
      </x:c>
      <x:c r="E348" t="n">
        <x:v>79.33</x:v>
      </x:c>
      <x:c r="F348"/>
      <x:c r="G348" t="str"/>
    </x:row>
    <x:row r="349">
      <x:c r="A349" t="str">
        <x:v>True</x:v>
      </x:c>
      <x:c r="B349" t="str">
        <x:v>255</x:v>
      </x:c>
      <x:c r="C349" t="str">
        <x:v>O12</x:v>
      </x:c>
      <x:c r="D349" t="str">
        <x:v>Sample 348</x:v>
      </x:c>
      <x:c r="E349" t="n">
        <x:v>79.35</x:v>
      </x:c>
      <x:c r="F349"/>
      <x:c r="G349" t="str"/>
    </x:row>
    <x:row r="350">
      <x:c r="A350" t="str">
        <x:v>True</x:v>
      </x:c>
      <x:c r="B350" t="str">
        <x:v>255</x:v>
      </x:c>
      <x:c r="C350" t="str">
        <x:v>O13</x:v>
      </x:c>
      <x:c r="D350" t="str">
        <x:v>Sample 349</x:v>
      </x:c>
      <x:c r="E350" t="n">
        <x:v>83.57</x:v>
      </x:c>
      <x:c r="F350"/>
      <x:c r="G350" t="str"/>
    </x:row>
    <x:row r="351">
      <x:c r="A351" t="str">
        <x:v>True</x:v>
      </x:c>
      <x:c r="B351" t="str">
        <x:v>255</x:v>
      </x:c>
      <x:c r="C351" t="str">
        <x:v>O14</x:v>
      </x:c>
      <x:c r="D351" t="str">
        <x:v>Sample 350</x:v>
      </x:c>
      <x:c r="E351" t="n">
        <x:v>83.56</x:v>
      </x:c>
      <x:c r="F351"/>
      <x:c r="G351" t="str"/>
    </x:row>
    <x:row r="352">
      <x:c r="A352" t="str">
        <x:v>True</x:v>
      </x:c>
      <x:c r="B352" t="str">
        <x:v>255</x:v>
      </x:c>
      <x:c r="C352" t="str">
        <x:v>O15</x:v>
      </x:c>
      <x:c r="D352" t="str">
        <x:v>Sample 351</x:v>
      </x:c>
      <x:c r="E352" t="n">
        <x:v>83.66</x:v>
      </x:c>
      <x:c r="F352"/>
      <x:c r="G352" t="str"/>
    </x:row>
    <x:row r="353">
      <x:c r="A353" t="str">
        <x:v>True</x:v>
      </x:c>
      <x:c r="B353" t="str">
        <x:v>255</x:v>
      </x:c>
      <x:c r="C353" t="str">
        <x:v>O16</x:v>
      </x:c>
      <x:c r="D353" t="str">
        <x:v>Sample 352</x:v>
      </x:c>
      <x:c r="E353" t="n">
        <x:v>83.59</x:v>
      </x:c>
      <x:c r="F353"/>
      <x:c r="G353" t="str"/>
    </x:row>
    <x:row r="354">
      <x:c r="A354" t="str">
        <x:v>True</x:v>
      </x:c>
      <x:c r="B354" t="str">
        <x:v>255</x:v>
      </x:c>
      <x:c r="C354" t="str">
        <x:v>O17</x:v>
      </x:c>
      <x:c r="D354" t="str">
        <x:v>Sample 353</x:v>
      </x:c>
      <x:c r="E354" t="n">
        <x:v>76.84</x:v>
      </x:c>
      <x:c r="F354"/>
      <x:c r="G354" t="str"/>
    </x:row>
    <x:row r="355">
      <x:c r="A355" t="str">
        <x:v>True</x:v>
      </x:c>
      <x:c r="B355" t="str">
        <x:v>255</x:v>
      </x:c>
      <x:c r="C355" t="str">
        <x:v>O18</x:v>
      </x:c>
      <x:c r="D355" t="str">
        <x:v>Sample 354</x:v>
      </x:c>
      <x:c r="E355" t="n">
        <x:v>76.96</x:v>
      </x:c>
      <x:c r="F355"/>
      <x:c r="G355" t="str"/>
    </x:row>
    <x:row r="356">
      <x:c r="A356" t="str">
        <x:v>True</x:v>
      </x:c>
      <x:c r="B356" t="str">
        <x:v>255</x:v>
      </x:c>
      <x:c r="C356" t="str">
        <x:v>O19</x:v>
      </x:c>
      <x:c r="D356" t="str">
        <x:v>Sample 355</x:v>
      </x:c>
      <x:c r="E356" t="n">
        <x:v>77.41</x:v>
      </x:c>
      <x:c r="F356"/>
      <x:c r="G356" t="str"/>
    </x:row>
    <x:row r="357">
      <x:c r="A357" t="str">
        <x:v>True</x:v>
      </x:c>
      <x:c r="B357" t="str">
        <x:v>255</x:v>
      </x:c>
      <x:c r="C357" t="str">
        <x:v>O20</x:v>
      </x:c>
      <x:c r="D357" t="str">
        <x:v>Sample 356</x:v>
      </x:c>
      <x:c r="E357" t="n">
        <x:v>76.53</x:v>
      </x:c>
      <x:c r="F357"/>
      <x:c r="G357" t="str"/>
    </x:row>
    <x:row r="358">
      <x:c r="A358" t="str">
        <x:v>True</x:v>
      </x:c>
      <x:c r="B358" t="str">
        <x:v>255</x:v>
      </x:c>
      <x:c r="C358" t="str">
        <x:v>O21</x:v>
      </x:c>
      <x:c r="D358" t="str">
        <x:v>Sample 357</x:v>
      </x:c>
      <x:c r="E358" t="n">
        <x:v>73.19</x:v>
      </x:c>
      <x:c r="F358"/>
      <x:c r="G358" t="str"/>
    </x:row>
    <x:row r="359">
      <x:c r="A359" t="str">
        <x:v>True</x:v>
      </x:c>
      <x:c r="B359" t="str">
        <x:v>255</x:v>
      </x:c>
      <x:c r="C359" t="str">
        <x:v>O22</x:v>
      </x:c>
      <x:c r="D359" t="str">
        <x:v>Sample 358</x:v>
      </x:c>
      <x:c r="E359" t="n">
        <x:v>73.23</x:v>
      </x:c>
      <x:c r="F359"/>
      <x:c r="G359" t="str"/>
    </x:row>
    <x:row r="360">
      <x:c r="A360" t="str">
        <x:v>True</x:v>
      </x:c>
      <x:c r="B360" t="str">
        <x:v>255</x:v>
      </x:c>
      <x:c r="C360" t="str">
        <x:v>O23</x:v>
      </x:c>
      <x:c r="D360" t="str">
        <x:v>Sample 359</x:v>
      </x:c>
      <x:c r="E360" t="n">
        <x:v>73.21</x:v>
      </x:c>
      <x:c r="F360"/>
      <x:c r="G360" t="str"/>
    </x:row>
    <x:row r="361">
      <x:c r="A361" t="str">
        <x:v>True</x:v>
      </x:c>
      <x:c r="B361" t="str">
        <x:v>255</x:v>
      </x:c>
      <x:c r="C361" t="str">
        <x:v>O24</x:v>
      </x:c>
      <x:c r="D361" t="str">
        <x:v>Sample 360</x:v>
      </x:c>
      <x:c r="E361" t="n">
        <x:v>73.26</x:v>
      </x:c>
      <x:c r="F361"/>
      <x:c r="G361" t="str"/>
    </x:row>
    <x:row r="362">
      <x:c r="A362" t="str">
        <x:v>True</x:v>
      </x:c>
      <x:c r="B362" t="str">
        <x:v>16744448</x:v>
      </x:c>
      <x:c r="C362" t="str">
        <x:v>P1</x:v>
      </x:c>
      <x:c r="D362" t="str">
        <x:v>Sample 361</x:v>
      </x:c>
      <x:c r="E362"/>
      <x:c r="F362"/>
      <x:c r="G362" t="str"/>
    </x:row>
    <x:row r="363">
      <x:c r="A363" t="str">
        <x:v>True</x:v>
      </x:c>
      <x:c r="B363" t="str">
        <x:v>16744448</x:v>
      </x:c>
      <x:c r="C363" t="str">
        <x:v>P2</x:v>
      </x:c>
      <x:c r="D363" t="str">
        <x:v>Sample 362</x:v>
      </x:c>
      <x:c r="E363"/>
      <x:c r="F363"/>
      <x:c r="G363" t="str"/>
    </x:row>
    <x:row r="364">
      <x:c r="A364" t="str">
        <x:v>True</x:v>
      </x:c>
      <x:c r="B364" t="str">
        <x:v>16744448</x:v>
      </x:c>
      <x:c r="C364" t="str">
        <x:v>P3</x:v>
      </x:c>
      <x:c r="D364" t="str">
        <x:v>Sample 363</x:v>
      </x:c>
      <x:c r="E364"/>
      <x:c r="F364"/>
      <x:c r="G364" t="str"/>
    </x:row>
    <x:row r="365">
      <x:c r="A365" t="str">
        <x:v>True</x:v>
      </x:c>
      <x:c r="B365" t="str">
        <x:v>16744448</x:v>
      </x:c>
      <x:c r="C365" t="str">
        <x:v>P4</x:v>
      </x:c>
      <x:c r="D365" t="str">
        <x:v>Sample 364</x:v>
      </x:c>
      <x:c r="E365"/>
      <x:c r="F365"/>
      <x:c r="G365" t="str"/>
    </x:row>
    <x:row r="366">
      <x:c r="A366" t="str">
        <x:v>True</x:v>
      </x:c>
      <x:c r="B366" t="str">
        <x:v>16744448</x:v>
      </x:c>
      <x:c r="C366" t="str">
        <x:v>P5</x:v>
      </x:c>
      <x:c r="D366" t="str">
        <x:v>Sample 365</x:v>
      </x:c>
      <x:c r="E366"/>
      <x:c r="F366"/>
      <x:c r="G366" t="str"/>
    </x:row>
    <x:row r="367">
      <x:c r="A367" t="str">
        <x:v>True</x:v>
      </x:c>
      <x:c r="B367" t="str">
        <x:v>16744448</x:v>
      </x:c>
      <x:c r="C367" t="str">
        <x:v>P6</x:v>
      </x:c>
      <x:c r="D367" t="str">
        <x:v>Sample 366</x:v>
      </x:c>
      <x:c r="E367"/>
      <x:c r="F367"/>
      <x:c r="G367" t="str"/>
    </x:row>
    <x:row r="368">
      <x:c r="A368" t="str">
        <x:v>True</x:v>
      </x:c>
      <x:c r="B368" t="str">
        <x:v>16744448</x:v>
      </x:c>
      <x:c r="C368" t="str">
        <x:v>P7</x:v>
      </x:c>
      <x:c r="D368" t="str">
        <x:v>Sample 367</x:v>
      </x:c>
      <x:c r="E368"/>
      <x:c r="F368"/>
      <x:c r="G368" t="str"/>
    </x:row>
    <x:row r="369">
      <x:c r="A369" t="str">
        <x:v>True</x:v>
      </x:c>
      <x:c r="B369" t="str">
        <x:v>16744448</x:v>
      </x:c>
      <x:c r="C369" t="str">
        <x:v>P8</x:v>
      </x:c>
      <x:c r="D369" t="str">
        <x:v>Sample 368</x:v>
      </x:c>
      <x:c r="E369"/>
      <x:c r="F369"/>
      <x:c r="G369" t="str"/>
    </x:row>
    <x:row r="370">
      <x:c r="A370" t="str">
        <x:v>True</x:v>
      </x:c>
      <x:c r="B370" t="str">
        <x:v>16744448</x:v>
      </x:c>
      <x:c r="C370" t="str">
        <x:v>P9</x:v>
      </x:c>
      <x:c r="D370" t="str">
        <x:v>Sample 369</x:v>
      </x:c>
      <x:c r="E370"/>
      <x:c r="F370"/>
      <x:c r="G370" t="str"/>
    </x:row>
    <x:row r="371">
      <x:c r="A371" t="str">
        <x:v>True</x:v>
      </x:c>
      <x:c r="B371" t="str">
        <x:v>16744448</x:v>
      </x:c>
      <x:c r="C371" t="str">
        <x:v>P10</x:v>
      </x:c>
      <x:c r="D371" t="str">
        <x:v>Sample 370</x:v>
      </x:c>
      <x:c r="E371"/>
      <x:c r="F371"/>
      <x:c r="G371" t="str"/>
    </x:row>
    <x:row r="372">
      <x:c r="A372" t="str">
        <x:v>True</x:v>
      </x:c>
      <x:c r="B372" t="str">
        <x:v>16744448</x:v>
      </x:c>
      <x:c r="C372" t="str">
        <x:v>P11</x:v>
      </x:c>
      <x:c r="D372" t="str">
        <x:v>Sample 371</x:v>
      </x:c>
      <x:c r="E372"/>
      <x:c r="F372"/>
      <x:c r="G372" t="str"/>
    </x:row>
    <x:row r="373">
      <x:c r="A373" t="str">
        <x:v>True</x:v>
      </x:c>
      <x:c r="B373" t="str">
        <x:v>16744448</x:v>
      </x:c>
      <x:c r="C373" t="str">
        <x:v>P12</x:v>
      </x:c>
      <x:c r="D373" t="str">
        <x:v>Sample 372</x:v>
      </x:c>
      <x:c r="E373"/>
      <x:c r="F373"/>
      <x:c r="G373" t="str"/>
    </x:row>
    <x:row r="374">
      <x:c r="A374" t="str">
        <x:v>True</x:v>
      </x:c>
      <x:c r="B374" t="str">
        <x:v>16744448</x:v>
      </x:c>
      <x:c r="C374" t="str">
        <x:v>P13</x:v>
      </x:c>
      <x:c r="D374" t="str">
        <x:v>Sample 373</x:v>
      </x:c>
      <x:c r="E374"/>
      <x:c r="F374"/>
      <x:c r="G374" t="str"/>
    </x:row>
    <x:row r="375">
      <x:c r="A375" t="str">
        <x:v>True</x:v>
      </x:c>
      <x:c r="B375" t="str">
        <x:v>16744448</x:v>
      </x:c>
      <x:c r="C375" t="str">
        <x:v>P14</x:v>
      </x:c>
      <x:c r="D375" t="str">
        <x:v>Sample 374</x:v>
      </x:c>
      <x:c r="E375"/>
      <x:c r="F375"/>
      <x:c r="G375" t="str"/>
    </x:row>
    <x:row r="376">
      <x:c r="A376" t="str">
        <x:v>True</x:v>
      </x:c>
      <x:c r="B376" t="str">
        <x:v>16744448</x:v>
      </x:c>
      <x:c r="C376" t="str">
        <x:v>P15</x:v>
      </x:c>
      <x:c r="D376" t="str">
        <x:v>Sample 375</x:v>
      </x:c>
      <x:c r="E376"/>
      <x:c r="F376"/>
      <x:c r="G376" t="str"/>
    </x:row>
    <x:row r="377">
      <x:c r="A377" t="str">
        <x:v>True</x:v>
      </x:c>
      <x:c r="B377" t="str">
        <x:v>16744448</x:v>
      </x:c>
      <x:c r="C377" t="str">
        <x:v>P16</x:v>
      </x:c>
      <x:c r="D377" t="str">
        <x:v>Sample 376</x:v>
      </x:c>
      <x:c r="E377"/>
      <x:c r="F377"/>
      <x:c r="G377" t="str"/>
    </x:row>
    <x:row r="378">
      <x:c r="A378" t="str">
        <x:v>True</x:v>
      </x:c>
      <x:c r="B378" t="str">
        <x:v>16744448</x:v>
      </x:c>
      <x:c r="C378" t="str">
        <x:v>P17</x:v>
      </x:c>
      <x:c r="D378" t="str">
        <x:v>Sample 377</x:v>
      </x:c>
      <x:c r="E378"/>
      <x:c r="F378"/>
      <x:c r="G378" t="str"/>
    </x:row>
    <x:row r="379">
      <x:c r="A379" t="str">
        <x:v>True</x:v>
      </x:c>
      <x:c r="B379" t="str">
        <x:v>16744448</x:v>
      </x:c>
      <x:c r="C379" t="str">
        <x:v>P18</x:v>
      </x:c>
      <x:c r="D379" t="str">
        <x:v>Sample 378</x:v>
      </x:c>
      <x:c r="E379"/>
      <x:c r="F379"/>
      <x:c r="G379" t="str"/>
    </x:row>
    <x:row r="380">
      <x:c r="A380" t="str">
        <x:v>True</x:v>
      </x:c>
      <x:c r="B380" t="str">
        <x:v>16744448</x:v>
      </x:c>
      <x:c r="C380" t="str">
        <x:v>P19</x:v>
      </x:c>
      <x:c r="D380" t="str">
        <x:v>Sample 379</x:v>
      </x:c>
      <x:c r="E380"/>
      <x:c r="F380"/>
      <x:c r="G380" t="str"/>
    </x:row>
    <x:row r="381">
      <x:c r="A381" t="str">
        <x:v>True</x:v>
      </x:c>
      <x:c r="B381" t="str">
        <x:v>16744448</x:v>
      </x:c>
      <x:c r="C381" t="str">
        <x:v>P20</x:v>
      </x:c>
      <x:c r="D381" t="str">
        <x:v>Sample 380</x:v>
      </x:c>
      <x:c r="E381"/>
      <x:c r="F381"/>
      <x:c r="G381" t="str"/>
    </x:row>
    <x:row r="382">
      <x:c r="A382" t="str">
        <x:v>True</x:v>
      </x:c>
      <x:c r="B382" t="str">
        <x:v>16744448</x:v>
      </x:c>
      <x:c r="C382" t="str">
        <x:v>P21</x:v>
      </x:c>
      <x:c r="D382" t="str">
        <x:v>Sample 381</x:v>
      </x:c>
      <x:c r="E382"/>
      <x:c r="F382"/>
      <x:c r="G382" t="str"/>
    </x:row>
    <x:row r="383">
      <x:c r="A383" t="str">
        <x:v>True</x:v>
      </x:c>
      <x:c r="B383" t="str">
        <x:v>16744448</x:v>
      </x:c>
      <x:c r="C383" t="str">
        <x:v>P22</x:v>
      </x:c>
      <x:c r="D383" t="str">
        <x:v>Sample 382</x:v>
      </x:c>
      <x:c r="E383"/>
      <x:c r="F383"/>
      <x:c r="G383" t="str"/>
    </x:row>
    <x:row r="384">
      <x:c r="A384" t="str">
        <x:v>True</x:v>
      </x:c>
      <x:c r="B384" t="str">
        <x:v>16744448</x:v>
      </x:c>
      <x:c r="C384" t="str">
        <x:v>P23</x:v>
      </x:c>
      <x:c r="D384" t="str">
        <x:v>Sample 383</x:v>
      </x:c>
      <x:c r="E384"/>
      <x:c r="F384"/>
      <x:c r="G384" t="str"/>
    </x:row>
    <x:row r="385">
      <x:c r="A385" t="str">
        <x:v>True</x:v>
      </x:c>
      <x:c r="B385" t="str">
        <x:v>16744448</x:v>
      </x:c>
      <x:c r="C385" t="str">
        <x:v>P24</x:v>
      </x:c>
      <x:c r="D385" t="str">
        <x:v>Sample 384</x:v>
      </x:c>
      <x:c r="E385"/>
      <x:c r="F385"/>
      <x:c r="G385" t="str"/>
    </x:row>
  </x:sheetData>
  <x:pageMargins left="0.7" right="0.7" top="0.75" bottom="0.75" header="0.3" footer="0.3"/>
  <x:tableParts count="1">
    <x:tablePart xmlns:r="http://schemas.openxmlformats.org/officeDocument/2006/relationships" r:id="R01b3b516a05a4a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" t="str">
        <x:v>Include</x:v>
      </x:c>
      <x:c r="B1" s="2" t="str">
        <x:v>Color</x:v>
      </x:c>
      <x:c r="C1" s="2" t="str">
        <x:v>Pos</x:v>
      </x:c>
      <x:c r="D1" s="2" t="str">
        <x:v>Name</x:v>
      </x:c>
      <x:c r="E1" s="2" t="str">
        <x:v>Group</x:v>
      </x:c>
      <x:c r="F1" s="2" t="str">
        <x:v>Score</x:v>
      </x:c>
      <x:c r="G1" s="2" t="str">
        <x:v>Res</x:v>
      </x:c>
      <x:c r="H1" s="2" t="str">
        <x:v>Status</x:v>
      </x:c>
    </x:row>
    <x:row r="2">
      <x:c r="A2" t="str">
        <x:v>True</x:v>
      </x:c>
      <x:c r="B2" t="str">
        <x:v>16744448</x:v>
      </x:c>
      <x:c r="C2" t="str">
        <x:v>A1</x:v>
      </x:c>
      <x:c r="D2" t="str">
        <x:v>Sample 1</x:v>
      </x:c>
      <x:c r="E2" t="str">
        <x:v>1</x:v>
      </x:c>
      <x:c r="F2" t="n">
        <x:v>0.89</x:v>
      </x:c>
      <x:c r="G2" t="n">
        <x:v>0.49</x:v>
      </x:c>
      <x:c r="H2" t="str"/>
    </x:row>
    <x:row r="3">
      <x:c r="A3" t="str">
        <x:v>True</x:v>
      </x:c>
      <x:c r="B3" t="str">
        <x:v>16744448</x:v>
      </x:c>
      <x:c r="C3" t="str">
        <x:v>A2</x:v>
      </x:c>
      <x:c r="D3" t="str">
        <x:v>Sample 2</x:v>
      </x:c>
      <x:c r="E3" t="str">
        <x:v>1</x:v>
      </x:c>
      <x:c r="F3" t="n">
        <x:v>0.88</x:v>
      </x:c>
      <x:c r="G3" t="n">
        <x:v>0.49</x:v>
      </x:c>
      <x:c r="H3" t="str"/>
    </x:row>
    <x:row r="4">
      <x:c r="A4" t="str">
        <x:v>True</x:v>
      </x:c>
      <x:c r="B4" t="str">
        <x:v>16744448</x:v>
      </x:c>
      <x:c r="C4" t="str">
        <x:v>A3</x:v>
      </x:c>
      <x:c r="D4" t="str">
        <x:v>Sample 3</x:v>
      </x:c>
      <x:c r="E4" t="str">
        <x:v>1</x:v>
      </x:c>
      <x:c r="F4" t="n">
        <x:v>0.87</x:v>
      </x:c>
      <x:c r="G4" t="n">
        <x:v>0.49</x:v>
      </x:c>
      <x:c r="H4" t="str"/>
    </x:row>
    <x:row r="5">
      <x:c r="A5" t="str">
        <x:v>True</x:v>
      </x:c>
      <x:c r="B5" t="str">
        <x:v>16744448</x:v>
      </x:c>
      <x:c r="C5" t="str">
        <x:v>A4</x:v>
      </x:c>
      <x:c r="D5" t="str">
        <x:v>Sample 4</x:v>
      </x:c>
      <x:c r="E5" t="str">
        <x:v>1</x:v>
      </x:c>
      <x:c r="F5" t="n">
        <x:v>0.88</x:v>
      </x:c>
      <x:c r="G5" t="n">
        <x:v>0.49</x:v>
      </x:c>
      <x:c r="H5" t="str"/>
    </x:row>
    <x:row r="6">
      <x:c r="A6" t="str">
        <x:v>True</x:v>
      </x:c>
      <x:c r="B6" t="str">
        <x:v>16744448</x:v>
      </x:c>
      <x:c r="C6" t="str">
        <x:v>A5</x:v>
      </x:c>
      <x:c r="D6" t="str">
        <x:v>Sample 5</x:v>
      </x:c>
      <x:c r="E6" t="str">
        <x:v>1</x:v>
      </x:c>
      <x:c r="F6" t="n">
        <x:v>0.99</x:v>
      </x:c>
      <x:c r="G6" t="n">
        <x:v>0.2</x:v>
      </x:c>
      <x:c r="H6" t="str"/>
    </x:row>
    <x:row r="7">
      <x:c r="A7" t="str">
        <x:v>True</x:v>
      </x:c>
      <x:c r="B7" t="str">
        <x:v>16744448</x:v>
      </x:c>
      <x:c r="C7" t="str">
        <x:v>A6</x:v>
      </x:c>
      <x:c r="D7" t="str">
        <x:v>Sample 6</x:v>
      </x:c>
      <x:c r="E7" t="str">
        <x:v>1</x:v>
      </x:c>
      <x:c r="F7" t="n">
        <x:v>0.98</x:v>
      </x:c>
      <x:c r="G7" t="n">
        <x:v>0.18</x:v>
      </x:c>
      <x:c r="H7" t="str"/>
    </x:row>
    <x:row r="8">
      <x:c r="A8" t="str">
        <x:v>True</x:v>
      </x:c>
      <x:c r="B8" t="str">
        <x:v>16744448</x:v>
      </x:c>
      <x:c r="C8" t="str">
        <x:v>A7</x:v>
      </x:c>
      <x:c r="D8" t="str">
        <x:v>Sample 7</x:v>
      </x:c>
      <x:c r="E8" t="str">
        <x:v>1</x:v>
      </x:c>
      <x:c r="F8" t="n">
        <x:v>0.97</x:v>
      </x:c>
      <x:c r="G8" t="n">
        <x:v>0.15</x:v>
      </x:c>
      <x:c r="H8" t="str"/>
    </x:row>
    <x:row r="9">
      <x:c r="A9" t="str">
        <x:v>True</x:v>
      </x:c>
      <x:c r="B9" t="str">
        <x:v>16744448</x:v>
      </x:c>
      <x:c r="C9" t="str">
        <x:v>A8</x:v>
      </x:c>
      <x:c r="D9" t="str">
        <x:v>Sample 8</x:v>
      </x:c>
      <x:c r="E9" t="str">
        <x:v>1</x:v>
      </x:c>
      <x:c r="F9" t="n">
        <x:v>0.98</x:v>
      </x:c>
      <x:c r="G9" t="n">
        <x:v>0.18</x:v>
      </x:c>
      <x:c r="H9" t="str"/>
    </x:row>
    <x:row r="10">
      <x:c r="A10" t="str">
        <x:v>True</x:v>
      </x:c>
      <x:c r="B10" t="str">
        <x:v>255</x:v>
      </x:c>
      <x:c r="C10" t="str">
        <x:v>A9</x:v>
      </x:c>
      <x:c r="D10" t="str">
        <x:v>Sample 9</x:v>
      </x:c>
      <x:c r="E10" t="str">
        <x:v>2</x:v>
      </x:c>
      <x:c r="F10" t="n">
        <x:v>0.96</x:v>
      </x:c>
      <x:c r="G10" t="n">
        <x:v>0.47</x:v>
      </x:c>
      <x:c r="H10" t="str"/>
    </x:row>
    <x:row r="11">
      <x:c r="A11" t="str">
        <x:v>True</x:v>
      </x:c>
      <x:c r="B11" t="str">
        <x:v>255</x:v>
      </x:c>
      <x:c r="C11" t="str">
        <x:v>A10</x:v>
      </x:c>
      <x:c r="D11" t="str">
        <x:v>Sample 10</x:v>
      </x:c>
      <x:c r="E11" t="str">
        <x:v>2</x:v>
      </x:c>
      <x:c r="F11" t="n">
        <x:v>0.96</x:v>
      </x:c>
      <x:c r="G11" t="n">
        <x:v>0.44</x:v>
      </x:c>
      <x:c r="H11" t="str"/>
    </x:row>
    <x:row r="12">
      <x:c r="A12" t="str">
        <x:v>True</x:v>
      </x:c>
      <x:c r="B12" t="str">
        <x:v>255</x:v>
      </x:c>
      <x:c r="C12" t="str">
        <x:v>A11</x:v>
      </x:c>
      <x:c r="D12" t="str">
        <x:v>Sample 11</x:v>
      </x:c>
      <x:c r="E12" t="str">
        <x:v>2</x:v>
      </x:c>
      <x:c r="F12" t="n">
        <x:v>0.94</x:v>
      </x:c>
      <x:c r="G12" t="n">
        <x:v>0.45</x:v>
      </x:c>
      <x:c r="H12" t="str"/>
    </x:row>
    <x:row r="13">
      <x:c r="A13" t="str">
        <x:v>True</x:v>
      </x:c>
      <x:c r="B13" t="str">
        <x:v>255</x:v>
      </x:c>
      <x:c r="C13" t="str">
        <x:v>A12</x:v>
      </x:c>
      <x:c r="D13" t="str">
        <x:v>Sample 12</x:v>
      </x:c>
      <x:c r="E13" t="str">
        <x:v>2</x:v>
      </x:c>
      <x:c r="F13" t="n">
        <x:v>0.97</x:v>
      </x:c>
      <x:c r="G13" t="n">
        <x:v>0.44</x:v>
      </x:c>
      <x:c r="H13" t="str"/>
    </x:row>
    <x:row r="14">
      <x:c r="A14" t="str">
        <x:v>True</x:v>
      </x:c>
      <x:c r="B14" t="str">
        <x:v>16744448</x:v>
      </x:c>
      <x:c r="C14" t="str">
        <x:v>A13</x:v>
      </x:c>
      <x:c r="D14" t="str">
        <x:v>Sample 13</x:v>
      </x:c>
      <x:c r="E14" t="str">
        <x:v>1</x:v>
      </x:c>
      <x:c r="F14" t="n">
        <x:v>0.99</x:v>
      </x:c>
      <x:c r="G14" t="n">
        <x:v>0.4</x:v>
      </x:c>
      <x:c r="H14" t="str"/>
    </x:row>
    <x:row r="15">
      <x:c r="A15" t="str">
        <x:v>True</x:v>
      </x:c>
      <x:c r="B15" t="str">
        <x:v>16744448</x:v>
      </x:c>
      <x:c r="C15" t="str">
        <x:v>A14</x:v>
      </x:c>
      <x:c r="D15" t="str">
        <x:v>Sample 14</x:v>
      </x:c>
      <x:c r="E15" t="str">
        <x:v>1</x:v>
      </x:c>
      <x:c r="F15" t="n">
        <x:v>0.98</x:v>
      </x:c>
      <x:c r="G15" t="n">
        <x:v>0.49</x:v>
      </x:c>
      <x:c r="H15" t="str"/>
    </x:row>
    <x:row r="16">
      <x:c r="A16" t="str">
        <x:v>True</x:v>
      </x:c>
      <x:c r="B16" t="str">
        <x:v>16744448</x:v>
      </x:c>
      <x:c r="C16" t="str">
        <x:v>A15</x:v>
      </x:c>
      <x:c r="D16" t="str">
        <x:v>Sample 15</x:v>
      </x:c>
      <x:c r="E16" t="str">
        <x:v>1</x:v>
      </x:c>
      <x:c r="F16" t="n">
        <x:v>0.99</x:v>
      </x:c>
      <x:c r="G16" t="n">
        <x:v>0.44</x:v>
      </x:c>
      <x:c r="H16" t="str"/>
    </x:row>
    <x:row r="17">
      <x:c r="A17" t="str">
        <x:v>True</x:v>
      </x:c>
      <x:c r="B17" t="str">
        <x:v>16744448</x:v>
      </x:c>
      <x:c r="C17" t="str">
        <x:v>A16</x:v>
      </x:c>
      <x:c r="D17" t="str">
        <x:v>Sample 16</x:v>
      </x:c>
      <x:c r="E17" t="str">
        <x:v>1</x:v>
      </x:c>
      <x:c r="F17" t="n">
        <x:v>0.99</x:v>
      </x:c>
      <x:c r="G17" t="n">
        <x:v>0.45</x:v>
      </x:c>
      <x:c r="H17" t="str"/>
    </x:row>
    <x:row r="18">
      <x:c r="A18" t="str">
        <x:v>True</x:v>
      </x:c>
      <x:c r="B18" t="str">
        <x:v>255</x:v>
      </x:c>
      <x:c r="C18" t="str">
        <x:v>A17</x:v>
      </x:c>
      <x:c r="D18" t="str">
        <x:v>Sample 17</x:v>
      </x:c>
      <x:c r="E18" t="str">
        <x:v>2</x:v>
      </x:c>
      <x:c r="F18" t="n">
        <x:v>0.98</x:v>
      </x:c>
      <x:c r="G18" t="n">
        <x:v>0.74</x:v>
      </x:c>
      <x:c r="H18" t="str"/>
    </x:row>
    <x:row r="19">
      <x:c r="A19" t="str">
        <x:v>True</x:v>
      </x:c>
      <x:c r="B19" t="str">
        <x:v>255</x:v>
      </x:c>
      <x:c r="C19" t="str">
        <x:v>A18</x:v>
      </x:c>
      <x:c r="D19" t="str">
        <x:v>Sample 18</x:v>
      </x:c>
      <x:c r="E19" t="str">
        <x:v>2</x:v>
      </x:c>
      <x:c r="F19" t="n">
        <x:v>0.98</x:v>
      </x:c>
      <x:c r="G19" t="n">
        <x:v>0.77</x:v>
      </x:c>
      <x:c r="H19" t="str"/>
    </x:row>
    <x:row r="20">
      <x:c r="A20" t="str">
        <x:v>True</x:v>
      </x:c>
      <x:c r="B20" t="str">
        <x:v>255</x:v>
      </x:c>
      <x:c r="C20" t="str">
        <x:v>A19</x:v>
      </x:c>
      <x:c r="D20" t="str">
        <x:v>Sample 19</x:v>
      </x:c>
      <x:c r="E20" t="str">
        <x:v>2</x:v>
      </x:c>
      <x:c r="F20" t="n">
        <x:v>0.99</x:v>
      </x:c>
      <x:c r="G20" t="n">
        <x:v>0.77</x:v>
      </x:c>
      <x:c r="H20" t="str"/>
    </x:row>
    <x:row r="21">
      <x:c r="A21" t="str">
        <x:v>True</x:v>
      </x:c>
      <x:c r="B21" t="str">
        <x:v>255</x:v>
      </x:c>
      <x:c r="C21" t="str">
        <x:v>A20</x:v>
      </x:c>
      <x:c r="D21" t="str">
        <x:v>Sample 20</x:v>
      </x:c>
      <x:c r="E21" t="str">
        <x:v>2</x:v>
      </x:c>
      <x:c r="F21" t="n">
        <x:v>0.97</x:v>
      </x:c>
      <x:c r="G21" t="n">
        <x:v>0.73</x:v>
      </x:c>
      <x:c r="H21" t="str"/>
    </x:row>
    <x:row r="22">
      <x:c r="A22" t="str">
        <x:v>True</x:v>
      </x:c>
      <x:c r="B22" t="str">
        <x:v>3200768</x:v>
      </x:c>
      <x:c r="C22" t="str">
        <x:v>A21</x:v>
      </x:c>
      <x:c r="D22" t="str">
        <x:v>Sample 21</x:v>
      </x:c>
      <x:c r="E22" t="str">
        <x:v>3</x:v>
      </x:c>
      <x:c r="F22" t="n">
        <x:v>0.74</x:v>
      </x:c>
      <x:c r="G22" t="n">
        <x:v>0.68</x:v>
      </x:c>
      <x:c r="H22" t="str"/>
    </x:row>
    <x:row r="23">
      <x:c r="A23" t="str">
        <x:v>True</x:v>
      </x:c>
      <x:c r="B23" t="str">
        <x:v>3200768</x:v>
      </x:c>
      <x:c r="C23" t="str">
        <x:v>A22</x:v>
      </x:c>
      <x:c r="D23" t="str">
        <x:v>Sample 22</x:v>
      </x:c>
      <x:c r="E23" t="str">
        <x:v>3</x:v>
      </x:c>
      <x:c r="F23" t="n">
        <x:v>0.99</x:v>
      </x:c>
      <x:c r="G23" t="n">
        <x:v>0.99</x:v>
      </x:c>
      <x:c r="H23" t="str"/>
    </x:row>
    <x:row r="24">
      <x:c r="A24" t="str">
        <x:v>True</x:v>
      </x:c>
      <x:c r="B24" t="str">
        <x:v>3200768</x:v>
      </x:c>
      <x:c r="C24" t="str">
        <x:v>A23</x:v>
      </x:c>
      <x:c r="D24" t="str">
        <x:v>Sample 23</x:v>
      </x:c>
      <x:c r="E24" t="str">
        <x:v>3</x:v>
      </x:c>
      <x:c r="F24" t="n">
        <x:v>0.92</x:v>
      </x:c>
      <x:c r="G24" t="n">
        <x:v>0.91</x:v>
      </x:c>
      <x:c r="H24" t="str"/>
    </x:row>
    <x:row r="25">
      <x:c r="A25" t="str">
        <x:v>True</x:v>
      </x:c>
      <x:c r="B25" t="str">
        <x:v>3200768</x:v>
      </x:c>
      <x:c r="C25" t="str">
        <x:v>A24</x:v>
      </x:c>
      <x:c r="D25" t="str">
        <x:v>Sample 24</x:v>
      </x:c>
      <x:c r="E25" t="str">
        <x:v>3</x:v>
      </x:c>
      <x:c r="F25" t="n">
        <x:v>0.99</x:v>
      </x:c>
      <x:c r="G25" t="n">
        <x:v>0.99</x:v>
      </x:c>
      <x:c r="H25" t="str"/>
    </x:row>
    <x:row r="26">
      <x:c r="A26" t="str">
        <x:v>True</x:v>
      </x:c>
      <x:c r="B26" t="str">
        <x:v>16744448</x:v>
      </x:c>
      <x:c r="C26" t="str">
        <x:v>B1</x:v>
      </x:c>
      <x:c r="D26" t="str">
        <x:v>Sample 25</x:v>
      </x:c>
      <x:c r="E26" t="str">
        <x:v>1</x:v>
      </x:c>
      <x:c r="F26" t="n">
        <x:v>0.85</x:v>
      </x:c>
      <x:c r="G26" t="n">
        <x:v>0.5</x:v>
      </x:c>
      <x:c r="H26" t="str"/>
    </x:row>
    <x:row r="27">
      <x:c r="A27" t="str">
        <x:v>True</x:v>
      </x:c>
      <x:c r="B27" t="str">
        <x:v>16744448</x:v>
      </x:c>
      <x:c r="C27" t="str">
        <x:v>B2</x:v>
      </x:c>
      <x:c r="D27" t="str">
        <x:v>Sample 26</x:v>
      </x:c>
      <x:c r="E27" t="str">
        <x:v>1</x:v>
      </x:c>
      <x:c r="F27" t="n">
        <x:v>0.87</x:v>
      </x:c>
      <x:c r="G27" t="n">
        <x:v>0.5</x:v>
      </x:c>
      <x:c r="H27" t="str"/>
    </x:row>
    <x:row r="28">
      <x:c r="A28" t="str">
        <x:v>True</x:v>
      </x:c>
      <x:c r="B28" t="str">
        <x:v>16744448</x:v>
      </x:c>
      <x:c r="C28" t="str">
        <x:v>B3</x:v>
      </x:c>
      <x:c r="D28" t="str">
        <x:v>Sample 27</x:v>
      </x:c>
      <x:c r="E28" t="str">
        <x:v>1</x:v>
      </x:c>
      <x:c r="F28" t="n">
        <x:v>0.87</x:v>
      </x:c>
      <x:c r="G28" t="n">
        <x:v>0.5</x:v>
      </x:c>
      <x:c r="H28" t="str"/>
    </x:row>
    <x:row r="29">
      <x:c r="A29" t="str">
        <x:v>True</x:v>
      </x:c>
      <x:c r="B29" t="str">
        <x:v>16744448</x:v>
      </x:c>
      <x:c r="C29" t="str">
        <x:v>B4</x:v>
      </x:c>
      <x:c r="D29" t="str">
        <x:v>Sample 28</x:v>
      </x:c>
      <x:c r="E29" t="str">
        <x:v>1</x:v>
      </x:c>
      <x:c r="F29" t="n">
        <x:v>0.89</x:v>
      </x:c>
      <x:c r="G29" t="n">
        <x:v>0.5</x:v>
      </x:c>
      <x:c r="H29" t="str"/>
    </x:row>
    <x:row r="30">
      <x:c r="A30" t="str">
        <x:v>True</x:v>
      </x:c>
      <x:c r="B30" t="str">
        <x:v>16744448</x:v>
      </x:c>
      <x:c r="C30" t="str">
        <x:v>B5</x:v>
      </x:c>
      <x:c r="D30" t="str">
        <x:v>Sample 29</x:v>
      </x:c>
      <x:c r="E30" t="str">
        <x:v>1</x:v>
      </x:c>
      <x:c r="F30" t="n">
        <x:v>0.98</x:v>
      </x:c>
      <x:c r="G30" t="n">
        <x:v>0.18</x:v>
      </x:c>
      <x:c r="H30" t="str"/>
    </x:row>
    <x:row r="31">
      <x:c r="A31" t="str">
        <x:v>True</x:v>
      </x:c>
      <x:c r="B31" t="str">
        <x:v>16744448</x:v>
      </x:c>
      <x:c r="C31" t="str">
        <x:v>B6</x:v>
      </x:c>
      <x:c r="D31" t="str">
        <x:v>Sample 30</x:v>
      </x:c>
      <x:c r="E31" t="str">
        <x:v>1</x:v>
      </x:c>
      <x:c r="F31" t="n">
        <x:v>0.98</x:v>
      </x:c>
      <x:c r="G31" t="n">
        <x:v>0.18</x:v>
      </x:c>
      <x:c r="H31" t="str"/>
    </x:row>
    <x:row r="32">
      <x:c r="A32" t="str">
        <x:v>True</x:v>
      </x:c>
      <x:c r="B32" t="str">
        <x:v>16744448</x:v>
      </x:c>
      <x:c r="C32" t="str">
        <x:v>B7</x:v>
      </x:c>
      <x:c r="D32" t="str">
        <x:v>Sample 31</x:v>
      </x:c>
      <x:c r="E32" t="str">
        <x:v>1</x:v>
      </x:c>
      <x:c r="F32" t="n">
        <x:v>0.98</x:v>
      </x:c>
      <x:c r="G32" t="n">
        <x:v>0.17</x:v>
      </x:c>
      <x:c r="H32" t="str"/>
    </x:row>
    <x:row r="33">
      <x:c r="A33" t="str">
        <x:v>True</x:v>
      </x:c>
      <x:c r="B33" t="str">
        <x:v>16744448</x:v>
      </x:c>
      <x:c r="C33" t="str">
        <x:v>B8</x:v>
      </x:c>
      <x:c r="D33" t="str">
        <x:v>Sample 32</x:v>
      </x:c>
      <x:c r="E33" t="str">
        <x:v>1</x:v>
      </x:c>
      <x:c r="F33" t="n">
        <x:v>0.99</x:v>
      </x:c>
      <x:c r="G33" t="n">
        <x:v>0.19</x:v>
      </x:c>
      <x:c r="H33" t="str"/>
    </x:row>
    <x:row r="34">
      <x:c r="A34" t="str">
        <x:v>True</x:v>
      </x:c>
      <x:c r="B34" t="str">
        <x:v>255</x:v>
      </x:c>
      <x:c r="C34" t="str">
        <x:v>B9</x:v>
      </x:c>
      <x:c r="D34" t="str">
        <x:v>Sample 33</x:v>
      </x:c>
      <x:c r="E34" t="str">
        <x:v>2</x:v>
      </x:c>
      <x:c r="F34" t="n">
        <x:v>0.97</x:v>
      </x:c>
      <x:c r="G34" t="n">
        <x:v>0.46</x:v>
      </x:c>
      <x:c r="H34" t="str"/>
    </x:row>
    <x:row r="35">
      <x:c r="A35" t="str">
        <x:v>True</x:v>
      </x:c>
      <x:c r="B35" t="str">
        <x:v>255</x:v>
      </x:c>
      <x:c r="C35" t="str">
        <x:v>B10</x:v>
      </x:c>
      <x:c r="D35" t="str">
        <x:v>Sample 34</x:v>
      </x:c>
      <x:c r="E35" t="str">
        <x:v>2</x:v>
      </x:c>
      <x:c r="F35" t="n">
        <x:v>0.96</x:v>
      </x:c>
      <x:c r="G35" t="n">
        <x:v>0.46</x:v>
      </x:c>
      <x:c r="H35" t="str"/>
    </x:row>
    <x:row r="36">
      <x:c r="A36" t="str">
        <x:v>True</x:v>
      </x:c>
      <x:c r="B36" t="str">
        <x:v>255</x:v>
      </x:c>
      <x:c r="C36" t="str">
        <x:v>B11</x:v>
      </x:c>
      <x:c r="D36" t="str">
        <x:v>Sample 35</x:v>
      </x:c>
      <x:c r="E36" t="str">
        <x:v>2</x:v>
      </x:c>
      <x:c r="F36" t="n">
        <x:v>0.97</x:v>
      </x:c>
      <x:c r="G36" t="n">
        <x:v>0.46</x:v>
      </x:c>
      <x:c r="H36" t="str"/>
    </x:row>
    <x:row r="37">
      <x:c r="A37" t="str">
        <x:v>True</x:v>
      </x:c>
      <x:c r="B37" t="str">
        <x:v>255</x:v>
      </x:c>
      <x:c r="C37" t="str">
        <x:v>B12</x:v>
      </x:c>
      <x:c r="D37" t="str">
        <x:v>Sample 36</x:v>
      </x:c>
      <x:c r="E37" t="str">
        <x:v>2</x:v>
      </x:c>
      <x:c r="F37" t="n">
        <x:v>0.93</x:v>
      </x:c>
      <x:c r="G37" t="n">
        <x:v>0.44</x:v>
      </x:c>
      <x:c r="H37" t="str"/>
    </x:row>
    <x:row r="38">
      <x:c r="A38" t="str">
        <x:v>True</x:v>
      </x:c>
      <x:c r="B38" t="str">
        <x:v>16744448</x:v>
      </x:c>
      <x:c r="C38" t="str">
        <x:v>B13</x:v>
      </x:c>
      <x:c r="D38" t="str">
        <x:v>Sample 37</x:v>
      </x:c>
      <x:c r="E38" t="str">
        <x:v>1</x:v>
      </x:c>
      <x:c r="F38" t="n">
        <x:v>0.98</x:v>
      </x:c>
      <x:c r="G38" t="n">
        <x:v>0.32</x:v>
      </x:c>
      <x:c r="H38" t="str"/>
    </x:row>
    <x:row r="39">
      <x:c r="A39" t="str">
        <x:v>True</x:v>
      </x:c>
      <x:c r="B39" t="str">
        <x:v>16744448</x:v>
      </x:c>
      <x:c r="C39" t="str">
        <x:v>B14</x:v>
      </x:c>
      <x:c r="D39" t="str">
        <x:v>Sample 38</x:v>
      </x:c>
      <x:c r="E39" t="str">
        <x:v>1</x:v>
      </x:c>
      <x:c r="F39" t="n">
        <x:v>0.99</x:v>
      </x:c>
      <x:c r="G39" t="n">
        <x:v>0.35</x:v>
      </x:c>
      <x:c r="H39" t="str"/>
    </x:row>
    <x:row r="40">
      <x:c r="A40" t="str">
        <x:v>True</x:v>
      </x:c>
      <x:c r="B40" t="str">
        <x:v>16744448</x:v>
      </x:c>
      <x:c r="C40" t="str">
        <x:v>B15</x:v>
      </x:c>
      <x:c r="D40" t="str">
        <x:v>Sample 39</x:v>
      </x:c>
      <x:c r="E40" t="str">
        <x:v>1</x:v>
      </x:c>
      <x:c r="F40" t="n">
        <x:v>0.99</x:v>
      </x:c>
      <x:c r="G40" t="n">
        <x:v>0.34</x:v>
      </x:c>
      <x:c r="H40" t="str"/>
    </x:row>
    <x:row r="41">
      <x:c r="A41" t="str">
        <x:v>True</x:v>
      </x:c>
      <x:c r="B41" t="str">
        <x:v>16744448</x:v>
      </x:c>
      <x:c r="C41" t="str">
        <x:v>B16</x:v>
      </x:c>
      <x:c r="D41" t="str">
        <x:v>Sample 40</x:v>
      </x:c>
      <x:c r="E41" t="str">
        <x:v>1</x:v>
      </x:c>
      <x:c r="F41" t="n">
        <x:v>0.99</x:v>
      </x:c>
      <x:c r="G41" t="n">
        <x:v>0.33</x:v>
      </x:c>
      <x:c r="H41" t="str"/>
    </x:row>
    <x:row r="42">
      <x:c r="A42" t="str">
        <x:v>True</x:v>
      </x:c>
      <x:c r="B42" t="str">
        <x:v>3200768</x:v>
      </x:c>
      <x:c r="C42" t="str">
        <x:v>B17</x:v>
      </x:c>
      <x:c r="D42" t="str">
        <x:v>Sample 41</x:v>
      </x:c>
      <x:c r="E42" t="str">
        <x:v>3</x:v>
      </x:c>
      <x:c r="F42" t="n">
        <x:v>0.87</x:v>
      </x:c>
      <x:c r="G42" t="n">
        <x:v>0.3</x:v>
      </x:c>
      <x:c r="H42" t="str"/>
    </x:row>
    <x:row r="43">
      <x:c r="A43" t="str">
        <x:v>True</x:v>
      </x:c>
      <x:c r="B43" t="str">
        <x:v>3200768</x:v>
      </x:c>
      <x:c r="C43" t="str">
        <x:v>B18</x:v>
      </x:c>
      <x:c r="D43" t="str">
        <x:v>Sample 42</x:v>
      </x:c>
      <x:c r="E43" t="str">
        <x:v>3</x:v>
      </x:c>
      <x:c r="F43" t="n">
        <x:v>0.82</x:v>
      </x:c>
      <x:c r="G43" t="n">
        <x:v>0.32</x:v>
      </x:c>
      <x:c r="H43" t="str"/>
    </x:row>
    <x:row r="44">
      <x:c r="A44" t="str">
        <x:v>True</x:v>
      </x:c>
      <x:c r="B44" t="str">
        <x:v>3200768</x:v>
      </x:c>
      <x:c r="C44" t="str">
        <x:v>B19</x:v>
      </x:c>
      <x:c r="D44" t="str">
        <x:v>Sample 43</x:v>
      </x:c>
      <x:c r="E44" t="str">
        <x:v>3</x:v>
      </x:c>
      <x:c r="F44" t="n">
        <x:v>0.87</x:v>
      </x:c>
      <x:c r="G44" t="n">
        <x:v>0.25</x:v>
      </x:c>
      <x:c r="H44" t="str"/>
    </x:row>
    <x:row r="45">
      <x:c r="A45" t="str">
        <x:v>True</x:v>
      </x:c>
      <x:c r="B45" t="str">
        <x:v>3200768</x:v>
      </x:c>
      <x:c r="C45" t="str">
        <x:v>B20</x:v>
      </x:c>
      <x:c r="D45" t="str">
        <x:v>Sample 44</x:v>
      </x:c>
      <x:c r="E45" t="str">
        <x:v>3</x:v>
      </x:c>
      <x:c r="F45" t="n">
        <x:v>0.86</x:v>
      </x:c>
      <x:c r="G45" t="n">
        <x:v>0.27</x:v>
      </x:c>
      <x:c r="H45" t="str"/>
    </x:row>
    <x:row r="46">
      <x:c r="A46" t="str">
        <x:v>True</x:v>
      </x:c>
      <x:c r="B46" t="str">
        <x:v>3200768</x:v>
      </x:c>
      <x:c r="C46" t="str">
        <x:v>B21</x:v>
      </x:c>
      <x:c r="D46" t="str">
        <x:v>Sample 45</x:v>
      </x:c>
      <x:c r="E46" t="str">
        <x:v>3</x:v>
      </x:c>
      <x:c r="F46" t="n">
        <x:v>0.99</x:v>
      </x:c>
      <x:c r="G46" t="n">
        <x:v>0.98</x:v>
      </x:c>
      <x:c r="H46" t="str"/>
    </x:row>
    <x:row r="47">
      <x:c r="A47" t="str">
        <x:v>True</x:v>
      </x:c>
      <x:c r="B47" t="str">
        <x:v>3200768</x:v>
      </x:c>
      <x:c r="C47" t="str">
        <x:v>B22</x:v>
      </x:c>
      <x:c r="D47" t="str">
        <x:v>Sample 46</x:v>
      </x:c>
      <x:c r="E47" t="str">
        <x:v>3</x:v>
      </x:c>
      <x:c r="F47" t="n">
        <x:v>0.99</x:v>
      </x:c>
      <x:c r="G47" t="n">
        <x:v>0.99</x:v>
      </x:c>
      <x:c r="H47" t="str"/>
    </x:row>
    <x:row r="48">
      <x:c r="A48" t="str">
        <x:v>True</x:v>
      </x:c>
      <x:c r="B48" t="str">
        <x:v>3200768</x:v>
      </x:c>
      <x:c r="C48" t="str">
        <x:v>B23</x:v>
      </x:c>
      <x:c r="D48" t="str">
        <x:v>Sample 47</x:v>
      </x:c>
      <x:c r="E48" t="str">
        <x:v>3</x:v>
      </x:c>
      <x:c r="F48" t="n">
        <x:v>0.99</x:v>
      </x:c>
      <x:c r="G48" t="n">
        <x:v>0.99</x:v>
      </x:c>
      <x:c r="H48" t="str"/>
    </x:row>
    <x:row r="49">
      <x:c r="A49" t="str">
        <x:v>True</x:v>
      </x:c>
      <x:c r="B49" t="str">
        <x:v>3200768</x:v>
      </x:c>
      <x:c r="C49" t="str">
        <x:v>B24</x:v>
      </x:c>
      <x:c r="D49" t="str">
        <x:v>Sample 48</x:v>
      </x:c>
      <x:c r="E49" t="str">
        <x:v>3</x:v>
      </x:c>
      <x:c r="F49" t="n">
        <x:v>0.99</x:v>
      </x:c>
      <x:c r="G49" t="n">
        <x:v>0.99</x:v>
      </x:c>
      <x:c r="H49" t="str"/>
    </x:row>
    <x:row r="50">
      <x:c r="A50" t="str">
        <x:v>True</x:v>
      </x:c>
      <x:c r="B50" t="str">
        <x:v>16744448</x:v>
      </x:c>
      <x:c r="C50" t="str">
        <x:v>C1</x:v>
      </x:c>
      <x:c r="D50" t="str">
        <x:v>Sample 49</x:v>
      </x:c>
      <x:c r="E50" t="str">
        <x:v>1</x:v>
      </x:c>
      <x:c r="F50" t="n">
        <x:v>0.89</x:v>
      </x:c>
      <x:c r="G50" t="n">
        <x:v>0.49</x:v>
      </x:c>
      <x:c r="H50" t="str"/>
    </x:row>
    <x:row r="51">
      <x:c r="A51" t="str">
        <x:v>True</x:v>
      </x:c>
      <x:c r="B51" t="str">
        <x:v>16744448</x:v>
      </x:c>
      <x:c r="C51" t="str">
        <x:v>C2</x:v>
      </x:c>
      <x:c r="D51" t="str">
        <x:v>Sample 50</x:v>
      </x:c>
      <x:c r="E51" t="str">
        <x:v>1</x:v>
      </x:c>
      <x:c r="F51" t="n">
        <x:v>0.87</x:v>
      </x:c>
      <x:c r="G51" t="n">
        <x:v>0.49</x:v>
      </x:c>
      <x:c r="H51" t="str"/>
    </x:row>
    <x:row r="52">
      <x:c r="A52" t="str">
        <x:v>True</x:v>
      </x:c>
      <x:c r="B52" t="str">
        <x:v>16744448</x:v>
      </x:c>
      <x:c r="C52" t="str">
        <x:v>C3</x:v>
      </x:c>
      <x:c r="D52" t="str">
        <x:v>Sample 51</x:v>
      </x:c>
      <x:c r="E52" t="str">
        <x:v>1</x:v>
      </x:c>
      <x:c r="F52" t="n">
        <x:v>0.87</x:v>
      </x:c>
      <x:c r="G52" t="n">
        <x:v>0.49</x:v>
      </x:c>
      <x:c r="H52" t="str"/>
    </x:row>
    <x:row r="53">
      <x:c r="A53" t="str">
        <x:v>True</x:v>
      </x:c>
      <x:c r="B53" t="str">
        <x:v>16744448</x:v>
      </x:c>
      <x:c r="C53" t="str">
        <x:v>C4</x:v>
      </x:c>
      <x:c r="D53" t="str">
        <x:v>Sample 52</x:v>
      </x:c>
      <x:c r="E53" t="str">
        <x:v>1</x:v>
      </x:c>
      <x:c r="F53" t="n">
        <x:v>0.87</x:v>
      </x:c>
      <x:c r="G53" t="n">
        <x:v>0.49</x:v>
      </x:c>
      <x:c r="H53" t="str"/>
    </x:row>
    <x:row r="54">
      <x:c r="A54" t="str">
        <x:v>True</x:v>
      </x:c>
      <x:c r="B54" t="str">
        <x:v>16744448</x:v>
      </x:c>
      <x:c r="C54" t="str">
        <x:v>C5</x:v>
      </x:c>
      <x:c r="D54" t="str">
        <x:v>Sample 53</x:v>
      </x:c>
      <x:c r="E54" t="str">
        <x:v>1</x:v>
      </x:c>
      <x:c r="F54" t="n">
        <x:v>0.98</x:v>
      </x:c>
      <x:c r="G54" t="n">
        <x:v>0.15</x:v>
      </x:c>
      <x:c r="H54" t="str"/>
    </x:row>
    <x:row r="55">
      <x:c r="A55" t="str">
        <x:v>True</x:v>
      </x:c>
      <x:c r="B55" t="str">
        <x:v>16744448</x:v>
      </x:c>
      <x:c r="C55" t="str">
        <x:v>C6</x:v>
      </x:c>
      <x:c r="D55" t="str">
        <x:v>Sample 54</x:v>
      </x:c>
      <x:c r="E55" t="str">
        <x:v>1</x:v>
      </x:c>
      <x:c r="F55" t="n">
        <x:v>0.98</x:v>
      </x:c>
      <x:c r="G55" t="n">
        <x:v>0.15</x:v>
      </x:c>
      <x:c r="H55" t="str"/>
    </x:row>
    <x:row r="56">
      <x:c r="A56" t="str">
        <x:v>True</x:v>
      </x:c>
      <x:c r="B56" t="str">
        <x:v>16744448</x:v>
      </x:c>
      <x:c r="C56" t="str">
        <x:v>C7</x:v>
      </x:c>
      <x:c r="D56" t="str">
        <x:v>Sample 55</x:v>
      </x:c>
      <x:c r="E56" t="str">
        <x:v>1</x:v>
      </x:c>
      <x:c r="F56" t="n">
        <x:v>0.97</x:v>
      </x:c>
      <x:c r="G56" t="n">
        <x:v>0.13</x:v>
      </x:c>
      <x:c r="H56" t="str"/>
    </x:row>
    <x:row r="57">
      <x:c r="A57" t="str">
        <x:v>True</x:v>
      </x:c>
      <x:c r="B57" t="str">
        <x:v>16744448</x:v>
      </x:c>
      <x:c r="C57" t="str">
        <x:v>C8</x:v>
      </x:c>
      <x:c r="D57" t="str">
        <x:v>Sample 56</x:v>
      </x:c>
      <x:c r="E57" t="str">
        <x:v>1</x:v>
      </x:c>
      <x:c r="F57" t="n">
        <x:v>0.98</x:v>
      </x:c>
      <x:c r="G57" t="n">
        <x:v>0.16</x:v>
      </x:c>
      <x:c r="H57" t="str"/>
    </x:row>
    <x:row r="58">
      <x:c r="A58" t="str">
        <x:v>True</x:v>
      </x:c>
      <x:c r="B58" t="str">
        <x:v>255</x:v>
      </x:c>
      <x:c r="C58" t="str">
        <x:v>C9</x:v>
      </x:c>
      <x:c r="D58" t="str">
        <x:v>Sample 57</x:v>
      </x:c>
      <x:c r="E58" t="str">
        <x:v>2</x:v>
      </x:c>
      <x:c r="F58" t="n">
        <x:v>0.97</x:v>
      </x:c>
      <x:c r="G58" t="n">
        <x:v>0.46</x:v>
      </x:c>
      <x:c r="H58" t="str"/>
    </x:row>
    <x:row r="59">
      <x:c r="A59" t="str">
        <x:v>True</x:v>
      </x:c>
      <x:c r="B59" t="str">
        <x:v>255</x:v>
      </x:c>
      <x:c r="C59" t="str">
        <x:v>C10</x:v>
      </x:c>
      <x:c r="D59" t="str">
        <x:v>Sample 58</x:v>
      </x:c>
      <x:c r="E59" t="str">
        <x:v>2</x:v>
      </x:c>
      <x:c r="F59" t="n">
        <x:v>0.95</x:v>
      </x:c>
      <x:c r="G59" t="n">
        <x:v>0.43</x:v>
      </x:c>
      <x:c r="H59" t="str"/>
    </x:row>
    <x:row r="60">
      <x:c r="A60" t="str">
        <x:v>True</x:v>
      </x:c>
      <x:c r="B60" t="str">
        <x:v>255</x:v>
      </x:c>
      <x:c r="C60" t="str">
        <x:v>C11</x:v>
      </x:c>
      <x:c r="D60" t="str">
        <x:v>Sample 59</x:v>
      </x:c>
      <x:c r="E60" t="str">
        <x:v>2</x:v>
      </x:c>
      <x:c r="F60" t="n">
        <x:v>0.95</x:v>
      </x:c>
      <x:c r="G60" t="n">
        <x:v>0.43</x:v>
      </x:c>
      <x:c r="H60" t="str"/>
    </x:row>
    <x:row r="61">
      <x:c r="A61" t="str">
        <x:v>True</x:v>
      </x:c>
      <x:c r="B61" t="str">
        <x:v>255</x:v>
      </x:c>
      <x:c r="C61" t="str">
        <x:v>C12</x:v>
      </x:c>
      <x:c r="D61" t="str">
        <x:v>Sample 60</x:v>
      </x:c>
      <x:c r="E61" t="str">
        <x:v>2</x:v>
      </x:c>
      <x:c r="F61" t="n">
        <x:v>0.95</x:v>
      </x:c>
      <x:c r="G61" t="n">
        <x:v>0.45</x:v>
      </x:c>
      <x:c r="H61" t="str"/>
    </x:row>
    <x:row r="62">
      <x:c r="A62" t="str">
        <x:v>True</x:v>
      </x:c>
      <x:c r="B62" t="str">
        <x:v>16744448</x:v>
      </x:c>
      <x:c r="C62" t="str">
        <x:v>C13</x:v>
      </x:c>
      <x:c r="D62" t="str">
        <x:v>Sample 61</x:v>
      </x:c>
      <x:c r="E62" t="str">
        <x:v>1</x:v>
      </x:c>
      <x:c r="F62" t="n">
        <x:v>0.94</x:v>
      </x:c>
      <x:c r="G62" t="n">
        <x:v>0.54</x:v>
      </x:c>
      <x:c r="H62" t="str"/>
    </x:row>
    <x:row r="63">
      <x:c r="A63" t="str">
        <x:v>True</x:v>
      </x:c>
      <x:c r="B63" t="str">
        <x:v>16744448</x:v>
      </x:c>
      <x:c r="C63" t="str">
        <x:v>C14</x:v>
      </x:c>
      <x:c r="D63" t="str">
        <x:v>Sample 62</x:v>
      </x:c>
      <x:c r="E63" t="str">
        <x:v>1</x:v>
      </x:c>
      <x:c r="F63" t="n">
        <x:v>0.94</x:v>
      </x:c>
      <x:c r="G63" t="n">
        <x:v>0.54</x:v>
      </x:c>
      <x:c r="H63" t="str"/>
    </x:row>
    <x:row r="64">
      <x:c r="A64" t="str">
        <x:v>True</x:v>
      </x:c>
      <x:c r="B64" t="str">
        <x:v>16744448</x:v>
      </x:c>
      <x:c r="C64" t="str">
        <x:v>C15</x:v>
      </x:c>
      <x:c r="D64" t="str">
        <x:v>Sample 63</x:v>
      </x:c>
      <x:c r="E64" t="str">
        <x:v>1</x:v>
      </x:c>
      <x:c r="F64" t="n">
        <x:v>0.93</x:v>
      </x:c>
      <x:c r="G64" t="n">
        <x:v>0.54</x:v>
      </x:c>
      <x:c r="H64" t="str"/>
    </x:row>
    <x:row r="65">
      <x:c r="A65" t="str">
        <x:v>True</x:v>
      </x:c>
      <x:c r="B65" t="str">
        <x:v>16744448</x:v>
      </x:c>
      <x:c r="C65" t="str">
        <x:v>C16</x:v>
      </x:c>
      <x:c r="D65" t="str">
        <x:v>Sample 64</x:v>
      </x:c>
      <x:c r="E65" t="str">
        <x:v>1</x:v>
      </x:c>
      <x:c r="F65" t="n">
        <x:v>0.94</x:v>
      </x:c>
      <x:c r="G65" t="n">
        <x:v>0.54</x:v>
      </x:c>
      <x:c r="H65" t="str"/>
    </x:row>
    <x:row r="66">
      <x:c r="A66" t="str">
        <x:v>True</x:v>
      </x:c>
      <x:c r="B66" t="str">
        <x:v>255</x:v>
      </x:c>
      <x:c r="C66" t="str">
        <x:v>C17</x:v>
      </x:c>
      <x:c r="D66" t="str">
        <x:v>Sample 65</x:v>
      </x:c>
      <x:c r="E66" t="str">
        <x:v>2</x:v>
      </x:c>
      <x:c r="F66" t="n">
        <x:v>0.98</x:v>
      </x:c>
      <x:c r="G66" t="n">
        <x:v>0.78</x:v>
      </x:c>
      <x:c r="H66" t="str"/>
    </x:row>
    <x:row r="67">
      <x:c r="A67" t="str">
        <x:v>True</x:v>
      </x:c>
      <x:c r="B67" t="str">
        <x:v>255</x:v>
      </x:c>
      <x:c r="C67" t="str">
        <x:v>C18</x:v>
      </x:c>
      <x:c r="D67" t="str">
        <x:v>Sample 66</x:v>
      </x:c>
      <x:c r="E67" t="str">
        <x:v>2</x:v>
      </x:c>
      <x:c r="F67" t="n">
        <x:v>0.98</x:v>
      </x:c>
      <x:c r="G67" t="n">
        <x:v>0.78</x:v>
      </x:c>
      <x:c r="H67" t="str"/>
    </x:row>
    <x:row r="68">
      <x:c r="A68" t="str">
        <x:v>True</x:v>
      </x:c>
      <x:c r="B68" t="str">
        <x:v>255</x:v>
      </x:c>
      <x:c r="C68" t="str">
        <x:v>C19</x:v>
      </x:c>
      <x:c r="D68" t="str">
        <x:v>Sample 67</x:v>
      </x:c>
      <x:c r="E68" t="str">
        <x:v>2</x:v>
      </x:c>
      <x:c r="F68" t="n">
        <x:v>0.99</x:v>
      </x:c>
      <x:c r="G68" t="n">
        <x:v>0.77</x:v>
      </x:c>
      <x:c r="H68" t="str"/>
    </x:row>
    <x:row r="69">
      <x:c r="A69" t="str">
        <x:v>True</x:v>
      </x:c>
      <x:c r="B69" t="str">
        <x:v>255</x:v>
      </x:c>
      <x:c r="C69" t="str">
        <x:v>C20</x:v>
      </x:c>
      <x:c r="D69" t="str">
        <x:v>Sample 68</x:v>
      </x:c>
      <x:c r="E69" t="str">
        <x:v>2</x:v>
      </x:c>
      <x:c r="F69" t="n">
        <x:v>0.98</x:v>
      </x:c>
      <x:c r="G69" t="n">
        <x:v>0.76</x:v>
      </x:c>
      <x:c r="H69" t="str"/>
    </x:row>
    <x:row r="70">
      <x:c r="A70" t="str">
        <x:v>True</x:v>
      </x:c>
      <x:c r="B70" t="str">
        <x:v>3200768</x:v>
      </x:c>
      <x:c r="C70" t="str">
        <x:v>C21</x:v>
      </x:c>
      <x:c r="D70" t="str">
        <x:v>Sample 69</x:v>
      </x:c>
      <x:c r="E70" t="str">
        <x:v>3</x:v>
      </x:c>
      <x:c r="F70" t="n">
        <x:v>0.8</x:v>
      </x:c>
      <x:c r="G70" t="n">
        <x:v>0.76</x:v>
      </x:c>
      <x:c r="H70" t="str"/>
    </x:row>
    <x:row r="71">
      <x:c r="A71" t="str">
        <x:v>True</x:v>
      </x:c>
      <x:c r="B71" t="str">
        <x:v>151</x:v>
      </x:c>
      <x:c r="C71" t="str">
        <x:v>C22</x:v>
      </x:c>
      <x:c r="D71" t="str">
        <x:v>Sample 70</x:v>
      </x:c>
      <x:c r="E71" t="str">
        <x:v>Unknown</x:v>
      </x:c>
      <x:c r="F71" t="n">
        <x:v>0.69</x:v>
      </x:c>
      <x:c r="G71" t="n">
        <x:v>0.57</x:v>
      </x:c>
      <x:c r="H71" t="str"/>
    </x:row>
    <x:row r="72">
      <x:c r="A72" t="str">
        <x:v>True</x:v>
      </x:c>
      <x:c r="B72" t="str">
        <x:v>3200768</x:v>
      </x:c>
      <x:c r="C72" t="str">
        <x:v>C23</x:v>
      </x:c>
      <x:c r="D72" t="str">
        <x:v>Sample 71</x:v>
      </x:c>
      <x:c r="E72" t="str">
        <x:v>3</x:v>
      </x:c>
      <x:c r="F72" t="n">
        <x:v>0.74</x:v>
      </x:c>
      <x:c r="G72" t="n">
        <x:v>0.67</x:v>
      </x:c>
      <x:c r="H72" t="str"/>
    </x:row>
    <x:row r="73">
      <x:c r="A73" t="str">
        <x:v>True</x:v>
      </x:c>
      <x:c r="B73" t="str">
        <x:v>3200768</x:v>
      </x:c>
      <x:c r="C73" t="str">
        <x:v>C24</x:v>
      </x:c>
      <x:c r="D73" t="str">
        <x:v>Sample 72</x:v>
      </x:c>
      <x:c r="E73" t="str">
        <x:v>3</x:v>
      </x:c>
      <x:c r="F73" t="n">
        <x:v>0.72</x:v>
      </x:c>
      <x:c r="G73" t="n">
        <x:v>0.61</x:v>
      </x:c>
      <x:c r="H73" t="str"/>
    </x:row>
    <x:row r="74">
      <x:c r="A74" t="str">
        <x:v>True</x:v>
      </x:c>
      <x:c r="B74" t="str">
        <x:v>16744448</x:v>
      </x:c>
      <x:c r="C74" t="str">
        <x:v>D1</x:v>
      </x:c>
      <x:c r="D74" t="str">
        <x:v>Sample 73</x:v>
      </x:c>
      <x:c r="E74" t="str">
        <x:v>1</x:v>
      </x:c>
      <x:c r="F74" t="n">
        <x:v>0.87</x:v>
      </x:c>
      <x:c r="G74" t="n">
        <x:v>0.5</x:v>
      </x:c>
      <x:c r="H74" t="str"/>
    </x:row>
    <x:row r="75">
      <x:c r="A75" t="str">
        <x:v>True</x:v>
      </x:c>
      <x:c r="B75" t="str">
        <x:v>16744448</x:v>
      </x:c>
      <x:c r="C75" t="str">
        <x:v>D2</x:v>
      </x:c>
      <x:c r="D75" t="str">
        <x:v>Sample 74</x:v>
      </x:c>
      <x:c r="E75" t="str">
        <x:v>1</x:v>
      </x:c>
      <x:c r="F75" t="n">
        <x:v>0.89</x:v>
      </x:c>
      <x:c r="G75" t="n">
        <x:v>0.5</x:v>
      </x:c>
      <x:c r="H75" t="str"/>
    </x:row>
    <x:row r="76">
      <x:c r="A76" t="str">
        <x:v>True</x:v>
      </x:c>
      <x:c r="B76" t="str">
        <x:v>16744448</x:v>
      </x:c>
      <x:c r="C76" t="str">
        <x:v>D3</x:v>
      </x:c>
      <x:c r="D76" t="str">
        <x:v>Sample 75</x:v>
      </x:c>
      <x:c r="E76" t="str">
        <x:v>1</x:v>
      </x:c>
      <x:c r="F76" t="n">
        <x:v>0.89</x:v>
      </x:c>
      <x:c r="G76" t="n">
        <x:v>0.5</x:v>
      </x:c>
      <x:c r="H76" t="str"/>
    </x:row>
    <x:row r="77">
      <x:c r="A77" t="str">
        <x:v>True</x:v>
      </x:c>
      <x:c r="B77" t="str">
        <x:v>16744448</x:v>
      </x:c>
      <x:c r="C77" t="str">
        <x:v>D4</x:v>
      </x:c>
      <x:c r="D77" t="str">
        <x:v>Sample 76</x:v>
      </x:c>
      <x:c r="E77" t="str">
        <x:v>1</x:v>
      </x:c>
      <x:c r="F77" t="n">
        <x:v>0.89</x:v>
      </x:c>
      <x:c r="G77" t="n">
        <x:v>0.5</x:v>
      </x:c>
      <x:c r="H77" t="str"/>
    </x:row>
    <x:row r="78">
      <x:c r="A78" t="str">
        <x:v>True</x:v>
      </x:c>
      <x:c r="B78" t="str">
        <x:v>16744448</x:v>
      </x:c>
      <x:c r="C78" t="str">
        <x:v>D5</x:v>
      </x:c>
      <x:c r="D78" t="str">
        <x:v>Sample 77</x:v>
      </x:c>
      <x:c r="E78" t="str">
        <x:v>1</x:v>
      </x:c>
      <x:c r="F78" t="n">
        <x:v>0.98</x:v>
      </x:c>
      <x:c r="G78" t="n">
        <x:v>0.19</x:v>
      </x:c>
      <x:c r="H78" t="str"/>
    </x:row>
    <x:row r="79">
      <x:c r="A79" t="str">
        <x:v>True</x:v>
      </x:c>
      <x:c r="B79" t="str">
        <x:v>16744448</x:v>
      </x:c>
      <x:c r="C79" t="str">
        <x:v>D6</x:v>
      </x:c>
      <x:c r="D79" t="str">
        <x:v>Sample 78</x:v>
      </x:c>
      <x:c r="E79" t="str">
        <x:v>1</x:v>
      </x:c>
      <x:c r="F79" t="n">
        <x:v>0.99</x:v>
      </x:c>
      <x:c r="G79" t="n">
        <x:v>0.21</x:v>
      </x:c>
      <x:c r="H79" t="str"/>
    </x:row>
    <x:row r="80">
      <x:c r="A80" t="str">
        <x:v>True</x:v>
      </x:c>
      <x:c r="B80" t="str">
        <x:v>16744448</x:v>
      </x:c>
      <x:c r="C80" t="str">
        <x:v>D7</x:v>
      </x:c>
      <x:c r="D80" t="str">
        <x:v>Sample 79</x:v>
      </x:c>
      <x:c r="E80" t="str">
        <x:v>1</x:v>
      </x:c>
      <x:c r="F80" t="n">
        <x:v>0.98</x:v>
      </x:c>
      <x:c r="G80" t="n">
        <x:v>0.18</x:v>
      </x:c>
      <x:c r="H80" t="str"/>
    </x:row>
    <x:row r="81">
      <x:c r="A81" t="str">
        <x:v>True</x:v>
      </x:c>
      <x:c r="B81" t="str">
        <x:v>16744448</x:v>
      </x:c>
      <x:c r="C81" t="str">
        <x:v>D8</x:v>
      </x:c>
      <x:c r="D81" t="str">
        <x:v>Sample 80</x:v>
      </x:c>
      <x:c r="E81" t="str">
        <x:v>1</x:v>
      </x:c>
      <x:c r="F81" t="n">
        <x:v>0.98</x:v>
      </x:c>
      <x:c r="G81" t="n">
        <x:v>0.18</x:v>
      </x:c>
      <x:c r="H81" t="str"/>
    </x:row>
    <x:row r="82">
      <x:c r="A82" t="str">
        <x:v>True</x:v>
      </x:c>
      <x:c r="B82" t="str">
        <x:v>255</x:v>
      </x:c>
      <x:c r="C82" t="str">
        <x:v>D9</x:v>
      </x:c>
      <x:c r="D82" t="str">
        <x:v>Sample 81</x:v>
      </x:c>
      <x:c r="E82" t="str">
        <x:v>2</x:v>
      </x:c>
      <x:c r="F82" t="n">
        <x:v>0.98</x:v>
      </x:c>
      <x:c r="G82" t="n">
        <x:v>0.45</x:v>
      </x:c>
      <x:c r="H82" t="str"/>
    </x:row>
    <x:row r="83">
      <x:c r="A83" t="str">
        <x:v>True</x:v>
      </x:c>
      <x:c r="B83" t="str">
        <x:v>255</x:v>
      </x:c>
      <x:c r="C83" t="str">
        <x:v>D10</x:v>
      </x:c>
      <x:c r="D83" t="str">
        <x:v>Sample 82</x:v>
      </x:c>
      <x:c r="E83" t="str">
        <x:v>2</x:v>
      </x:c>
      <x:c r="F83" t="n">
        <x:v>0.96</x:v>
      </x:c>
      <x:c r="G83" t="n">
        <x:v>0.46</x:v>
      </x:c>
      <x:c r="H83" t="str"/>
    </x:row>
    <x:row r="84">
      <x:c r="A84" t="str">
        <x:v>True</x:v>
      </x:c>
      <x:c r="B84" t="str">
        <x:v>255</x:v>
      </x:c>
      <x:c r="C84" t="str">
        <x:v>D11</x:v>
      </x:c>
      <x:c r="D84" t="str">
        <x:v>Sample 83</x:v>
      </x:c>
      <x:c r="E84" t="str">
        <x:v>2</x:v>
      </x:c>
      <x:c r="F84" t="n">
        <x:v>0.97</x:v>
      </x:c>
      <x:c r="G84" t="n">
        <x:v>0.46</x:v>
      </x:c>
      <x:c r="H84" t="str"/>
    </x:row>
    <x:row r="85">
      <x:c r="A85" t="str">
        <x:v>True</x:v>
      </x:c>
      <x:c r="B85" t="str">
        <x:v>255</x:v>
      </x:c>
      <x:c r="C85" t="str">
        <x:v>D12</x:v>
      </x:c>
      <x:c r="D85" t="str">
        <x:v>Sample 84</x:v>
      </x:c>
      <x:c r="E85" t="str">
        <x:v>2</x:v>
      </x:c>
      <x:c r="F85" t="n">
        <x:v>0.98</x:v>
      </x:c>
      <x:c r="G85" t="n">
        <x:v>0.44</x:v>
      </x:c>
      <x:c r="H85" t="str"/>
    </x:row>
    <x:row r="86">
      <x:c r="A86" t="str">
        <x:v>True</x:v>
      </x:c>
      <x:c r="B86" t="str">
        <x:v>16744448</x:v>
      </x:c>
      <x:c r="C86" t="str">
        <x:v>D13</x:v>
      </x:c>
      <x:c r="D86" t="str">
        <x:v>Sample 85</x:v>
      </x:c>
      <x:c r="E86" t="str">
        <x:v>1</x:v>
      </x:c>
      <x:c r="F86" t="n">
        <x:v>0.98</x:v>
      </x:c>
      <x:c r="G86" t="n">
        <x:v>0.32</x:v>
      </x:c>
      <x:c r="H86" t="str"/>
    </x:row>
    <x:row r="87">
      <x:c r="A87" t="str">
        <x:v>True</x:v>
      </x:c>
      <x:c r="B87" t="str">
        <x:v>16744448</x:v>
      </x:c>
      <x:c r="C87" t="str">
        <x:v>D14</x:v>
      </x:c>
      <x:c r="D87" t="str">
        <x:v>Sample 86</x:v>
      </x:c>
      <x:c r="E87" t="str">
        <x:v>1</x:v>
      </x:c>
      <x:c r="F87" t="n">
        <x:v>0.98</x:v>
      </x:c>
      <x:c r="G87" t="n">
        <x:v>0.33</x:v>
      </x:c>
      <x:c r="H87" t="str"/>
    </x:row>
    <x:row r="88">
      <x:c r="A88" t="str">
        <x:v>True</x:v>
      </x:c>
      <x:c r="B88" t="str">
        <x:v>16744448</x:v>
      </x:c>
      <x:c r="C88" t="str">
        <x:v>D15</x:v>
      </x:c>
      <x:c r="D88" t="str">
        <x:v>Sample 87</x:v>
      </x:c>
      <x:c r="E88" t="str">
        <x:v>1</x:v>
      </x:c>
      <x:c r="F88" t="n">
        <x:v>1</x:v>
      </x:c>
      <x:c r="G88" t="n">
        <x:v>0.41</x:v>
      </x:c>
      <x:c r="H88" t="str"/>
    </x:row>
    <x:row r="89">
      <x:c r="A89" t="str">
        <x:v>True</x:v>
      </x:c>
      <x:c r="B89" t="str">
        <x:v>16744448</x:v>
      </x:c>
      <x:c r="C89" t="str">
        <x:v>D16</x:v>
      </x:c>
      <x:c r="D89" t="str">
        <x:v>Sample 88</x:v>
      </x:c>
      <x:c r="E89" t="str">
        <x:v>1</x:v>
      </x:c>
      <x:c r="F89" t="n">
        <x:v>0.99</x:v>
      </x:c>
      <x:c r="G89" t="n">
        <x:v>0.4</x:v>
      </x:c>
      <x:c r="H89" t="str"/>
    </x:row>
    <x:row r="90">
      <x:c r="A90" t="str">
        <x:v>True</x:v>
      </x:c>
      <x:c r="B90" t="str">
        <x:v>255</x:v>
      </x:c>
      <x:c r="C90" t="str">
        <x:v>D17</x:v>
      </x:c>
      <x:c r="D90" t="str">
        <x:v>Sample 89</x:v>
      </x:c>
      <x:c r="E90" t="str">
        <x:v>2</x:v>
      </x:c>
      <x:c r="F90" t="n">
        <x:v>0.86</x:v>
      </x:c>
      <x:c r="G90" t="n">
        <x:v>0.26</x:v>
      </x:c>
      <x:c r="H90" t="str"/>
    </x:row>
    <x:row r="91">
      <x:c r="A91" t="str">
        <x:v>True</x:v>
      </x:c>
      <x:c r="B91" t="str">
        <x:v>151</x:v>
      </x:c>
      <x:c r="C91" t="str">
        <x:v>D18</x:v>
      </x:c>
      <x:c r="D91" t="str">
        <x:v>Sample 90</x:v>
      </x:c>
      <x:c r="E91" t="str">
        <x:v>Unknown</x:v>
      </x:c>
      <x:c r="F91" t="n">
        <x:v>0.74</x:v>
      </x:c>
      <x:c r="G91" t="n">
        <x:v>0.01</x:v>
      </x:c>
      <x:c r="H91" t="str"/>
    </x:row>
    <x:row r="92">
      <x:c r="A92" t="str">
        <x:v>True</x:v>
      </x:c>
      <x:c r="B92" t="str">
        <x:v>255</x:v>
      </x:c>
      <x:c r="C92" t="str">
        <x:v>D19</x:v>
      </x:c>
      <x:c r="D92" t="str">
        <x:v>Sample 91</x:v>
      </x:c>
      <x:c r="E92" t="str">
        <x:v>2</x:v>
      </x:c>
      <x:c r="F92" t="n">
        <x:v>0.86</x:v>
      </x:c>
      <x:c r="G92" t="n">
        <x:v>0.38</x:v>
      </x:c>
      <x:c r="H92" t="str"/>
    </x:row>
    <x:row r="93">
      <x:c r="A93" t="str">
        <x:v>True</x:v>
      </x:c>
      <x:c r="B93" t="str">
        <x:v>255</x:v>
      </x:c>
      <x:c r="C93" t="str">
        <x:v>D20</x:v>
      </x:c>
      <x:c r="D93" t="str">
        <x:v>Sample 92</x:v>
      </x:c>
      <x:c r="E93" t="str">
        <x:v>2</x:v>
      </x:c>
      <x:c r="F93" t="n">
        <x:v>0.82</x:v>
      </x:c>
      <x:c r="G93" t="n">
        <x:v>0.24</x:v>
      </x:c>
      <x:c r="H93" t="str"/>
    </x:row>
    <x:row r="94">
      <x:c r="A94" t="str">
        <x:v>True</x:v>
      </x:c>
      <x:c r="B94" t="str">
        <x:v>3200768</x:v>
      </x:c>
      <x:c r="C94" t="str">
        <x:v>D21</x:v>
      </x:c>
      <x:c r="D94" t="str">
        <x:v>Sample 93</x:v>
      </x:c>
      <x:c r="E94" t="str">
        <x:v>3</x:v>
      </x:c>
      <x:c r="F94" t="n">
        <x:v>0.99</x:v>
      </x:c>
      <x:c r="G94" t="n">
        <x:v>0.99</x:v>
      </x:c>
      <x:c r="H94" t="str"/>
    </x:row>
    <x:row r="95">
      <x:c r="A95" t="str">
        <x:v>True</x:v>
      </x:c>
      <x:c r="B95" t="str">
        <x:v>3200768</x:v>
      </x:c>
      <x:c r="C95" t="str">
        <x:v>D22</x:v>
      </x:c>
      <x:c r="D95" t="str">
        <x:v>Sample 94</x:v>
      </x:c>
      <x:c r="E95" t="str">
        <x:v>3</x:v>
      </x:c>
      <x:c r="F95" t="n">
        <x:v>0.98</x:v>
      </x:c>
      <x:c r="G95" t="n">
        <x:v>0.98</x:v>
      </x:c>
      <x:c r="H95" t="str"/>
    </x:row>
    <x:row r="96">
      <x:c r="A96" t="str">
        <x:v>True</x:v>
      </x:c>
      <x:c r="B96" t="str">
        <x:v>3200768</x:v>
      </x:c>
      <x:c r="C96" t="str">
        <x:v>D23</x:v>
      </x:c>
      <x:c r="D96" t="str">
        <x:v>Sample 95</x:v>
      </x:c>
      <x:c r="E96" t="str">
        <x:v>3</x:v>
      </x:c>
      <x:c r="F96" t="n">
        <x:v>0.99</x:v>
      </x:c>
      <x:c r="G96" t="n">
        <x:v>0.99</x:v>
      </x:c>
      <x:c r="H96" t="str"/>
    </x:row>
    <x:row r="97">
      <x:c r="A97" t="str">
        <x:v>True</x:v>
      </x:c>
      <x:c r="B97" t="str">
        <x:v>3200768</x:v>
      </x:c>
      <x:c r="C97" t="str">
        <x:v>D24</x:v>
      </x:c>
      <x:c r="D97" t="str">
        <x:v>Sample 96</x:v>
      </x:c>
      <x:c r="E97" t="str">
        <x:v>3</x:v>
      </x:c>
      <x:c r="F97" t="n">
        <x:v>0.99</x:v>
      </x:c>
      <x:c r="G97" t="n">
        <x:v>0.98</x:v>
      </x:c>
      <x:c r="H97" t="str"/>
    </x:row>
    <x:row r="98">
      <x:c r="A98" t="str">
        <x:v>True</x:v>
      </x:c>
      <x:c r="B98" t="str">
        <x:v>16744448</x:v>
      </x:c>
      <x:c r="C98" t="str">
        <x:v>E1</x:v>
      </x:c>
      <x:c r="D98" t="str">
        <x:v>Sample 97</x:v>
      </x:c>
      <x:c r="E98" t="str">
        <x:v>1</x:v>
      </x:c>
      <x:c r="F98" t="n">
        <x:v>0.87</x:v>
      </x:c>
      <x:c r="G98" t="n">
        <x:v>0.5</x:v>
      </x:c>
      <x:c r="H98" t="str"/>
    </x:row>
    <x:row r="99">
      <x:c r="A99" t="str">
        <x:v>True</x:v>
      </x:c>
      <x:c r="B99" t="str">
        <x:v>16744448</x:v>
      </x:c>
      <x:c r="C99" t="str">
        <x:v>E2</x:v>
      </x:c>
      <x:c r="D99" t="str">
        <x:v>Sample 98</x:v>
      </x:c>
      <x:c r="E99" t="str">
        <x:v>1</x:v>
      </x:c>
      <x:c r="F99" t="n">
        <x:v>0.88</x:v>
      </x:c>
      <x:c r="G99" t="n">
        <x:v>0.49</x:v>
      </x:c>
      <x:c r="H99" t="str"/>
    </x:row>
    <x:row r="100">
      <x:c r="A100" t="str">
        <x:v>True</x:v>
      </x:c>
      <x:c r="B100" t="str">
        <x:v>16744448</x:v>
      </x:c>
      <x:c r="C100" t="str">
        <x:v>E3</x:v>
      </x:c>
      <x:c r="D100" t="str">
        <x:v>Sample 99</x:v>
      </x:c>
      <x:c r="E100" t="str">
        <x:v>1</x:v>
      </x:c>
      <x:c r="F100" t="n">
        <x:v>0.88</x:v>
      </x:c>
      <x:c r="G100" t="n">
        <x:v>0.49</x:v>
      </x:c>
      <x:c r="H100" t="str"/>
    </x:row>
    <x:row r="101">
      <x:c r="A101" t="str">
        <x:v>True</x:v>
      </x:c>
      <x:c r="B101" t="str">
        <x:v>16744448</x:v>
      </x:c>
      <x:c r="C101" t="str">
        <x:v>E4</x:v>
      </x:c>
      <x:c r="D101" t="str">
        <x:v>Sample 100</x:v>
      </x:c>
      <x:c r="E101" t="str">
        <x:v>1</x:v>
      </x:c>
      <x:c r="F101" t="n">
        <x:v>0.86</x:v>
      </x:c>
      <x:c r="G101" t="n">
        <x:v>0.5</x:v>
      </x:c>
      <x:c r="H101" t="str"/>
    </x:row>
    <x:row r="102">
      <x:c r="A102" t="str">
        <x:v>True</x:v>
      </x:c>
      <x:c r="B102" t="str">
        <x:v>16744448</x:v>
      </x:c>
      <x:c r="C102" t="str">
        <x:v>E5</x:v>
      </x:c>
      <x:c r="D102" t="str">
        <x:v>Sample 101</x:v>
      </x:c>
      <x:c r="E102" t="str">
        <x:v>1</x:v>
      </x:c>
      <x:c r="F102" t="n">
        <x:v>0.98</x:v>
      </x:c>
      <x:c r="G102" t="n">
        <x:v>0.17</x:v>
      </x:c>
      <x:c r="H102" t="str"/>
    </x:row>
    <x:row r="103">
      <x:c r="A103" t="str">
        <x:v>True</x:v>
      </x:c>
      <x:c r="B103" t="str">
        <x:v>16744448</x:v>
      </x:c>
      <x:c r="C103" t="str">
        <x:v>E6</x:v>
      </x:c>
      <x:c r="D103" t="str">
        <x:v>Sample 102</x:v>
      </x:c>
      <x:c r="E103" t="str">
        <x:v>1</x:v>
      </x:c>
      <x:c r="F103" t="n">
        <x:v>0.98</x:v>
      </x:c>
      <x:c r="G103" t="n">
        <x:v>0.15</x:v>
      </x:c>
      <x:c r="H103" t="str"/>
    </x:row>
    <x:row r="104">
      <x:c r="A104" t="str">
        <x:v>True</x:v>
      </x:c>
      <x:c r="B104" t="str">
        <x:v>16744448</x:v>
      </x:c>
      <x:c r="C104" t="str">
        <x:v>E7</x:v>
      </x:c>
      <x:c r="D104" t="str">
        <x:v>Sample 103</x:v>
      </x:c>
      <x:c r="E104" t="str">
        <x:v>1</x:v>
      </x:c>
      <x:c r="F104" t="n">
        <x:v>0.98</x:v>
      </x:c>
      <x:c r="G104" t="n">
        <x:v>0.15</x:v>
      </x:c>
      <x:c r="H104" t="str"/>
    </x:row>
    <x:row r="105">
      <x:c r="A105" t="str">
        <x:v>True</x:v>
      </x:c>
      <x:c r="B105" t="str">
        <x:v>16744448</x:v>
      </x:c>
      <x:c r="C105" t="str">
        <x:v>E8</x:v>
      </x:c>
      <x:c r="D105" t="str">
        <x:v>Sample 104</x:v>
      </x:c>
      <x:c r="E105" t="str">
        <x:v>1</x:v>
      </x:c>
      <x:c r="F105" t="n">
        <x:v>0.98</x:v>
      </x:c>
      <x:c r="G105" t="n">
        <x:v>0.17</x:v>
      </x:c>
      <x:c r="H105" t="str"/>
    </x:row>
    <x:row r="106">
      <x:c r="A106" t="str">
        <x:v>True</x:v>
      </x:c>
      <x:c r="B106" t="str">
        <x:v>255</x:v>
      </x:c>
      <x:c r="C106" t="str">
        <x:v>E9</x:v>
      </x:c>
      <x:c r="D106" t="str">
        <x:v>Sample 105</x:v>
      </x:c>
      <x:c r="E106" t="str">
        <x:v>2</x:v>
      </x:c>
      <x:c r="F106" t="n">
        <x:v>0.97</x:v>
      </x:c>
      <x:c r="G106" t="n">
        <x:v>0.46</x:v>
      </x:c>
      <x:c r="H106" t="str"/>
    </x:row>
    <x:row r="107">
      <x:c r="A107" t="str">
        <x:v>True</x:v>
      </x:c>
      <x:c r="B107" t="str">
        <x:v>255</x:v>
      </x:c>
      <x:c r="C107" t="str">
        <x:v>E10</x:v>
      </x:c>
      <x:c r="D107" t="str">
        <x:v>Sample 106</x:v>
      </x:c>
      <x:c r="E107" t="str">
        <x:v>2</x:v>
      </x:c>
      <x:c r="F107" t="n">
        <x:v>0.97</x:v>
      </x:c>
      <x:c r="G107" t="n">
        <x:v>0.44</x:v>
      </x:c>
      <x:c r="H107" t="str"/>
    </x:row>
    <x:row r="108">
      <x:c r="A108" t="str">
        <x:v>True</x:v>
      </x:c>
      <x:c r="B108" t="str">
        <x:v>255</x:v>
      </x:c>
      <x:c r="C108" t="str">
        <x:v>E11</x:v>
      </x:c>
      <x:c r="D108" t="str">
        <x:v>Sample 107</x:v>
      </x:c>
      <x:c r="E108" t="str">
        <x:v>2</x:v>
      </x:c>
      <x:c r="F108" t="n">
        <x:v>0.96</x:v>
      </x:c>
      <x:c r="G108" t="n">
        <x:v>0.44</x:v>
      </x:c>
      <x:c r="H108" t="str"/>
    </x:row>
    <x:row r="109">
      <x:c r="A109" t="str">
        <x:v>True</x:v>
      </x:c>
      <x:c r="B109" t="str">
        <x:v>255</x:v>
      </x:c>
      <x:c r="C109" t="str">
        <x:v>E12</x:v>
      </x:c>
      <x:c r="D109" t="str">
        <x:v>Sample 108</x:v>
      </x:c>
      <x:c r="E109" t="str">
        <x:v>2</x:v>
      </x:c>
      <x:c r="F109" t="n">
        <x:v>0.96</x:v>
      </x:c>
      <x:c r="G109" t="n">
        <x:v>0.44</x:v>
      </x:c>
      <x:c r="H109" t="str"/>
    </x:row>
    <x:row r="110">
      <x:c r="A110" t="str">
        <x:v>True</x:v>
      </x:c>
      <x:c r="B110" t="str">
        <x:v>16744448</x:v>
      </x:c>
      <x:c r="C110" t="str">
        <x:v>E13</x:v>
      </x:c>
      <x:c r="D110" t="str">
        <x:v>Sample 109</x:v>
      </x:c>
      <x:c r="E110" t="str">
        <x:v>1</x:v>
      </x:c>
      <x:c r="F110" t="n">
        <x:v>0.97</x:v>
      </x:c>
      <x:c r="G110" t="n">
        <x:v>0.51</x:v>
      </x:c>
      <x:c r="H110" t="str"/>
    </x:row>
    <x:row r="111">
      <x:c r="A111" t="str">
        <x:v>True</x:v>
      </x:c>
      <x:c r="B111" t="str">
        <x:v>16744448</x:v>
      </x:c>
      <x:c r="C111" t="str">
        <x:v>E14</x:v>
      </x:c>
      <x:c r="D111" t="str">
        <x:v>Sample 110</x:v>
      </x:c>
      <x:c r="E111" t="str">
        <x:v>1</x:v>
      </x:c>
      <x:c r="F111" t="n">
        <x:v>0.94</x:v>
      </x:c>
      <x:c r="G111" t="n">
        <x:v>0.18</x:v>
      </x:c>
      <x:c r="H111" t="str"/>
    </x:row>
    <x:row r="112">
      <x:c r="A112" t="str">
        <x:v>True</x:v>
      </x:c>
      <x:c r="B112" t="str">
        <x:v>16744448</x:v>
      </x:c>
      <x:c r="C112" t="str">
        <x:v>E15</x:v>
      </x:c>
      <x:c r="D112" t="str">
        <x:v>Sample 111</x:v>
      </x:c>
      <x:c r="E112" t="str">
        <x:v>1</x:v>
      </x:c>
      <x:c r="F112" t="n">
        <x:v>0.97</x:v>
      </x:c>
      <x:c r="G112" t="n">
        <x:v>0.51</x:v>
      </x:c>
      <x:c r="H112" t="str"/>
    </x:row>
    <x:row r="113">
      <x:c r="A113" t="str">
        <x:v>True</x:v>
      </x:c>
      <x:c r="B113" t="str">
        <x:v>16744448</x:v>
      </x:c>
      <x:c r="C113" t="str">
        <x:v>E16</x:v>
      </x:c>
      <x:c r="D113" t="str">
        <x:v>Sample 112</x:v>
      </x:c>
      <x:c r="E113" t="str">
        <x:v>1</x:v>
      </x:c>
      <x:c r="F113" t="n">
        <x:v>0.94</x:v>
      </x:c>
      <x:c r="G113" t="n">
        <x:v>0.53</x:v>
      </x:c>
      <x:c r="H113" t="str"/>
    </x:row>
    <x:row r="114">
      <x:c r="A114" t="str">
        <x:v>True</x:v>
      </x:c>
      <x:c r="B114" t="str">
        <x:v>255</x:v>
      </x:c>
      <x:c r="C114" t="str">
        <x:v>E17</x:v>
      </x:c>
      <x:c r="D114" t="str">
        <x:v>Sample 113</x:v>
      </x:c>
      <x:c r="E114" t="str">
        <x:v>2</x:v>
      </x:c>
      <x:c r="F114" t="n">
        <x:v>0.98</x:v>
      </x:c>
      <x:c r="G114" t="n">
        <x:v>0.7</x:v>
      </x:c>
      <x:c r="H114" t="str"/>
    </x:row>
    <x:row r="115">
      <x:c r="A115" t="str">
        <x:v>True</x:v>
      </x:c>
      <x:c r="B115" t="str">
        <x:v>255</x:v>
      </x:c>
      <x:c r="C115" t="str">
        <x:v>E18</x:v>
      </x:c>
      <x:c r="D115" t="str">
        <x:v>Sample 114</x:v>
      </x:c>
      <x:c r="E115" t="str">
        <x:v>2</x:v>
      </x:c>
      <x:c r="F115" t="n">
        <x:v>0.97</x:v>
      </x:c>
      <x:c r="G115" t="n">
        <x:v>0.76</x:v>
      </x:c>
      <x:c r="H115" t="str"/>
    </x:row>
    <x:row r="116">
      <x:c r="A116" t="str">
        <x:v>True</x:v>
      </x:c>
      <x:c r="B116" t="str">
        <x:v>255</x:v>
      </x:c>
      <x:c r="C116" t="str">
        <x:v>E19</x:v>
      </x:c>
      <x:c r="D116" t="str">
        <x:v>Sample 115</x:v>
      </x:c>
      <x:c r="E116" t="str">
        <x:v>2</x:v>
      </x:c>
      <x:c r="F116" t="n">
        <x:v>0.98</x:v>
      </x:c>
      <x:c r="G116" t="n">
        <x:v>0.76</x:v>
      </x:c>
      <x:c r="H116" t="str"/>
    </x:row>
    <x:row r="117">
      <x:c r="A117" t="str">
        <x:v>True</x:v>
      </x:c>
      <x:c r="B117" t="str">
        <x:v>255</x:v>
      </x:c>
      <x:c r="C117" t="str">
        <x:v>E20</x:v>
      </x:c>
      <x:c r="D117" t="str">
        <x:v>Sample 116</x:v>
      </x:c>
      <x:c r="E117" t="str">
        <x:v>2</x:v>
      </x:c>
      <x:c r="F117" t="n">
        <x:v>0.98</x:v>
      </x:c>
      <x:c r="G117" t="n">
        <x:v>0.76</x:v>
      </x:c>
      <x:c r="H117" t="str"/>
    </x:row>
    <x:row r="118">
      <x:c r="A118" t="str">
        <x:v>True</x:v>
      </x:c>
      <x:c r="B118" t="str">
        <x:v>3200768</x:v>
      </x:c>
      <x:c r="C118" t="str">
        <x:v>E21</x:v>
      </x:c>
      <x:c r="D118" t="str">
        <x:v>Sample 117</x:v>
      </x:c>
      <x:c r="E118" t="str">
        <x:v>3</x:v>
      </x:c>
      <x:c r="F118" t="n">
        <x:v>0.77</x:v>
      </x:c>
      <x:c r="G118" t="n">
        <x:v>0.72</x:v>
      </x:c>
      <x:c r="H118" t="str"/>
    </x:row>
    <x:row r="119">
      <x:c r="A119" t="str">
        <x:v>True</x:v>
      </x:c>
      <x:c r="B119" t="str">
        <x:v>3200768</x:v>
      </x:c>
      <x:c r="C119" t="str">
        <x:v>E22</x:v>
      </x:c>
      <x:c r="D119" t="str">
        <x:v>Sample 118</x:v>
      </x:c>
      <x:c r="E119" t="str">
        <x:v>3</x:v>
      </x:c>
      <x:c r="F119" t="n">
        <x:v>0.71</x:v>
      </x:c>
      <x:c r="G119" t="n">
        <x:v>0.64</x:v>
      </x:c>
      <x:c r="H119" t="str"/>
    </x:row>
    <x:row r="120">
      <x:c r="A120" t="str">
        <x:v>True</x:v>
      </x:c>
      <x:c r="B120" t="str">
        <x:v>3200768</x:v>
      </x:c>
      <x:c r="C120" t="str">
        <x:v>E23</x:v>
      </x:c>
      <x:c r="D120" t="str">
        <x:v>Sample 119</x:v>
      </x:c>
      <x:c r="E120" t="str">
        <x:v>3</x:v>
      </x:c>
      <x:c r="F120" t="n">
        <x:v>0.97</x:v>
      </x:c>
      <x:c r="G120" t="n">
        <x:v>0.97</x:v>
      </x:c>
      <x:c r="H120" t="str"/>
    </x:row>
    <x:row r="121">
      <x:c r="A121" t="str">
        <x:v>True</x:v>
      </x:c>
      <x:c r="B121" t="str">
        <x:v>151</x:v>
      </x:c>
      <x:c r="C121" t="str">
        <x:v>E24</x:v>
      </x:c>
      <x:c r="D121" t="str">
        <x:v>Sample 120</x:v>
      </x:c>
      <x:c r="E121" t="str">
        <x:v>Unknown</x:v>
      </x:c>
      <x:c r="F121" t="n">
        <x:v>0.68</x:v>
      </x:c>
      <x:c r="G121" t="n">
        <x:v>0.54</x:v>
      </x:c>
      <x:c r="H121" t="str"/>
    </x:row>
    <x:row r="122">
      <x:c r="A122" t="str">
        <x:v>True</x:v>
      </x:c>
      <x:c r="B122" t="str">
        <x:v>16776975</x:v>
      </x:c>
      <x:c r="C122" t="str">
        <x:v>F1</x:v>
      </x:c>
      <x:c r="D122" t="str">
        <x:v>Sample 121</x:v>
      </x:c>
      <x:c r="E122" t="str">
        <x:v>Negative</x:v>
      </x:c>
      <x:c r="F122" t="n">
        <x:v>1</x:v>
      </x:c>
      <x:c r="G122" t="n">
        <x:v>1</x:v>
      </x:c>
      <x:c r="H122" t="str"/>
    </x:row>
    <x:row r="123">
      <x:c r="A123" t="str">
        <x:v>True</x:v>
      </x:c>
      <x:c r="B123" t="str">
        <x:v>16776975</x:v>
      </x:c>
      <x:c r="C123" t="str">
        <x:v>F2</x:v>
      </x:c>
      <x:c r="D123" t="str">
        <x:v>Sample 122</x:v>
      </x:c>
      <x:c r="E123" t="str">
        <x:v>Negative</x:v>
      </x:c>
      <x:c r="F123" t="n">
        <x:v>1</x:v>
      </x:c>
      <x:c r="G123" t="n">
        <x:v>1</x:v>
      </x:c>
      <x:c r="H123" t="str"/>
    </x:row>
    <x:row r="124">
      <x:c r="A124" t="str">
        <x:v>True</x:v>
      </x:c>
      <x:c r="B124" t="str">
        <x:v>16776975</x:v>
      </x:c>
      <x:c r="C124" t="str">
        <x:v>F3</x:v>
      </x:c>
      <x:c r="D124" t="str">
        <x:v>Sample 123</x:v>
      </x:c>
      <x:c r="E124" t="str">
        <x:v>Negative</x:v>
      </x:c>
      <x:c r="F124" t="n">
        <x:v>1</x:v>
      </x:c>
      <x:c r="G124" t="n">
        <x:v>1</x:v>
      </x:c>
      <x:c r="H124" t="str"/>
    </x:row>
    <x:row r="125">
      <x:c r="A125" t="str">
        <x:v>True</x:v>
      </x:c>
      <x:c r="B125" t="str">
        <x:v>16776975</x:v>
      </x:c>
      <x:c r="C125" t="str">
        <x:v>F4</x:v>
      </x:c>
      <x:c r="D125" t="str">
        <x:v>Sample 124</x:v>
      </x:c>
      <x:c r="E125" t="str">
        <x:v>Negative</x:v>
      </x:c>
      <x:c r="F125" t="n">
        <x:v>1</x:v>
      </x:c>
      <x:c r="G125" t="n">
        <x:v>1</x:v>
      </x:c>
      <x:c r="H125" t="str"/>
    </x:row>
    <x:row r="126">
      <x:c r="A126" t="str">
        <x:v>True</x:v>
      </x:c>
      <x:c r="B126" t="str">
        <x:v>16776975</x:v>
      </x:c>
      <x:c r="C126" t="str">
        <x:v>F5</x:v>
      </x:c>
      <x:c r="D126" t="str">
        <x:v>Sample 125</x:v>
      </x:c>
      <x:c r="E126" t="str">
        <x:v>Negative</x:v>
      </x:c>
      <x:c r="F126" t="n">
        <x:v>1</x:v>
      </x:c>
      <x:c r="G126" t="n">
        <x:v>1</x:v>
      </x:c>
      <x:c r="H126" t="str"/>
    </x:row>
    <x:row r="127">
      <x:c r="A127" t="str">
        <x:v>True</x:v>
      </x:c>
      <x:c r="B127" t="str">
        <x:v>16776975</x:v>
      </x:c>
      <x:c r="C127" t="str">
        <x:v>F6</x:v>
      </x:c>
      <x:c r="D127" t="str">
        <x:v>Sample 126</x:v>
      </x:c>
      <x:c r="E127" t="str">
        <x:v>Negative</x:v>
      </x:c>
      <x:c r="F127" t="n">
        <x:v>1</x:v>
      </x:c>
      <x:c r="G127" t="n">
        <x:v>1</x:v>
      </x:c>
      <x:c r="H127" t="str"/>
    </x:row>
    <x:row r="128">
      <x:c r="A128" t="str">
        <x:v>True</x:v>
      </x:c>
      <x:c r="B128" t="str">
        <x:v>16776975</x:v>
      </x:c>
      <x:c r="C128" t="str">
        <x:v>F7</x:v>
      </x:c>
      <x:c r="D128" t="str">
        <x:v>Sample 127</x:v>
      </x:c>
      <x:c r="E128" t="str">
        <x:v>Negative</x:v>
      </x:c>
      <x:c r="F128" t="n">
        <x:v>1</x:v>
      </x:c>
      <x:c r="G128" t="n">
        <x:v>1</x:v>
      </x:c>
      <x:c r="H128" t="str"/>
    </x:row>
    <x:row r="129">
      <x:c r="A129" t="str">
        <x:v>True</x:v>
      </x:c>
      <x:c r="B129" t="str">
        <x:v>16776975</x:v>
      </x:c>
      <x:c r="C129" t="str">
        <x:v>F8</x:v>
      </x:c>
      <x:c r="D129" t="str">
        <x:v>Sample 128</x:v>
      </x:c>
      <x:c r="E129" t="str">
        <x:v>Negative</x:v>
      </x:c>
      <x:c r="F129" t="n">
        <x:v>1</x:v>
      </x:c>
      <x:c r="G129" t="n">
        <x:v>1</x:v>
      </x:c>
      <x:c r="H129" t="str"/>
    </x:row>
    <x:row r="130">
      <x:c r="A130" t="str">
        <x:v>True</x:v>
      </x:c>
      <x:c r="B130" t="str">
        <x:v>16776975</x:v>
      </x:c>
      <x:c r="C130" t="str">
        <x:v>F9</x:v>
      </x:c>
      <x:c r="D130" t="str">
        <x:v>Sample 129</x:v>
      </x:c>
      <x:c r="E130" t="str">
        <x:v>Negative</x:v>
      </x:c>
      <x:c r="F130" t="n">
        <x:v>1</x:v>
      </x:c>
      <x:c r="G130" t="n">
        <x:v>1</x:v>
      </x:c>
      <x:c r="H130" t="str"/>
    </x:row>
    <x:row r="131">
      <x:c r="A131" t="str">
        <x:v>True</x:v>
      </x:c>
      <x:c r="B131" t="str">
        <x:v>16776975</x:v>
      </x:c>
      <x:c r="C131" t="str">
        <x:v>F10</x:v>
      </x:c>
      <x:c r="D131" t="str">
        <x:v>Sample 130</x:v>
      </x:c>
      <x:c r="E131" t="str">
        <x:v>Negative</x:v>
      </x:c>
      <x:c r="F131" t="n">
        <x:v>1</x:v>
      </x:c>
      <x:c r="G131" t="n">
        <x:v>1</x:v>
      </x:c>
      <x:c r="H131" t="str"/>
    </x:row>
    <x:row r="132">
      <x:c r="A132" t="str">
        <x:v>True</x:v>
      </x:c>
      <x:c r="B132" t="str">
        <x:v>16776975</x:v>
      </x:c>
      <x:c r="C132" t="str">
        <x:v>F11</x:v>
      </x:c>
      <x:c r="D132" t="str">
        <x:v>Sample 131</x:v>
      </x:c>
      <x:c r="E132" t="str">
        <x:v>Negative</x:v>
      </x:c>
      <x:c r="F132" t="n">
        <x:v>1</x:v>
      </x:c>
      <x:c r="G132" t="n">
        <x:v>1</x:v>
      </x:c>
      <x:c r="H132" t="str"/>
    </x:row>
    <x:row r="133">
      <x:c r="A133" t="str">
        <x:v>True</x:v>
      </x:c>
      <x:c r="B133" t="str">
        <x:v>16776975</x:v>
      </x:c>
      <x:c r="C133" t="str">
        <x:v>F12</x:v>
      </x:c>
      <x:c r="D133" t="str">
        <x:v>Sample 132</x:v>
      </x:c>
      <x:c r="E133" t="str">
        <x:v>Negative</x:v>
      </x:c>
      <x:c r="F133" t="n">
        <x:v>1</x:v>
      </x:c>
      <x:c r="G133" t="n">
        <x:v>1</x:v>
      </x:c>
      <x:c r="H133" t="str"/>
    </x:row>
    <x:row r="134">
      <x:c r="A134" t="str">
        <x:v>True</x:v>
      </x:c>
      <x:c r="B134" t="str">
        <x:v>16776975</x:v>
      </x:c>
      <x:c r="C134" t="str">
        <x:v>F13</x:v>
      </x:c>
      <x:c r="D134" t="str">
        <x:v>Sample 133</x:v>
      </x:c>
      <x:c r="E134" t="str">
        <x:v>Negative</x:v>
      </x:c>
      <x:c r="F134" t="n">
        <x:v>1</x:v>
      </x:c>
      <x:c r="G134" t="n">
        <x:v>1</x:v>
      </x:c>
      <x:c r="H134" t="str"/>
    </x:row>
    <x:row r="135">
      <x:c r="A135" t="str">
        <x:v>True</x:v>
      </x:c>
      <x:c r="B135" t="str">
        <x:v>16776975</x:v>
      </x:c>
      <x:c r="C135" t="str">
        <x:v>F14</x:v>
      </x:c>
      <x:c r="D135" t="str">
        <x:v>Sample 134</x:v>
      </x:c>
      <x:c r="E135" t="str">
        <x:v>Negative</x:v>
      </x:c>
      <x:c r="F135" t="n">
        <x:v>1</x:v>
      </x:c>
      <x:c r="G135" t="n">
        <x:v>1</x:v>
      </x:c>
      <x:c r="H135" t="str"/>
    </x:row>
    <x:row r="136">
      <x:c r="A136" t="str">
        <x:v>True</x:v>
      </x:c>
      <x:c r="B136" t="str">
        <x:v>16776975</x:v>
      </x:c>
      <x:c r="C136" t="str">
        <x:v>F15</x:v>
      </x:c>
      <x:c r="D136" t="str">
        <x:v>Sample 135</x:v>
      </x:c>
      <x:c r="E136" t="str">
        <x:v>Negative</x:v>
      </x:c>
      <x:c r="F136" t="n">
        <x:v>1</x:v>
      </x:c>
      <x:c r="G136" t="n">
        <x:v>1</x:v>
      </x:c>
      <x:c r="H136" t="str"/>
    </x:row>
    <x:row r="137">
      <x:c r="A137" t="str">
        <x:v>True</x:v>
      </x:c>
      <x:c r="B137" t="str">
        <x:v>16776975</x:v>
      </x:c>
      <x:c r="C137" t="str">
        <x:v>F16</x:v>
      </x:c>
      <x:c r="D137" t="str">
        <x:v>Sample 136</x:v>
      </x:c>
      <x:c r="E137" t="str">
        <x:v>Negative</x:v>
      </x:c>
      <x:c r="F137" t="n">
        <x:v>1</x:v>
      </x:c>
      <x:c r="G137" t="n">
        <x:v>1</x:v>
      </x:c>
      <x:c r="H137" t="str"/>
    </x:row>
    <x:row r="138">
      <x:c r="A138" t="str">
        <x:v>True</x:v>
      </x:c>
      <x:c r="B138" t="str">
        <x:v>16776975</x:v>
      </x:c>
      <x:c r="C138" t="str">
        <x:v>F17</x:v>
      </x:c>
      <x:c r="D138" t="str">
        <x:v>Sample 137</x:v>
      </x:c>
      <x:c r="E138" t="str">
        <x:v>Negative</x:v>
      </x:c>
      <x:c r="F138" t="n">
        <x:v>1</x:v>
      </x:c>
      <x:c r="G138" t="n">
        <x:v>1</x:v>
      </x:c>
      <x:c r="H138" t="str"/>
    </x:row>
    <x:row r="139">
      <x:c r="A139" t="str">
        <x:v>True</x:v>
      </x:c>
      <x:c r="B139" t="str">
        <x:v>16776975</x:v>
      </x:c>
      <x:c r="C139" t="str">
        <x:v>F18</x:v>
      </x:c>
      <x:c r="D139" t="str">
        <x:v>Sample 138</x:v>
      </x:c>
      <x:c r="E139" t="str">
        <x:v>Negative</x:v>
      </x:c>
      <x:c r="F139" t="n">
        <x:v>1</x:v>
      </x:c>
      <x:c r="G139" t="n">
        <x:v>1</x:v>
      </x:c>
      <x:c r="H139" t="str"/>
    </x:row>
    <x:row r="140">
      <x:c r="A140" t="str">
        <x:v>True</x:v>
      </x:c>
      <x:c r="B140" t="str">
        <x:v>16776975</x:v>
      </x:c>
      <x:c r="C140" t="str">
        <x:v>F19</x:v>
      </x:c>
      <x:c r="D140" t="str">
        <x:v>Sample 139</x:v>
      </x:c>
      <x:c r="E140" t="str">
        <x:v>Negative</x:v>
      </x:c>
      <x:c r="F140" t="n">
        <x:v>1</x:v>
      </x:c>
      <x:c r="G140" t="n">
        <x:v>1</x:v>
      </x:c>
      <x:c r="H140" t="str"/>
    </x:row>
    <x:row r="141">
      <x:c r="A141" t="str">
        <x:v>True</x:v>
      </x:c>
      <x:c r="B141" t="str">
        <x:v>16776975</x:v>
      </x:c>
      <x:c r="C141" t="str">
        <x:v>F20</x:v>
      </x:c>
      <x:c r="D141" t="str">
        <x:v>Sample 140</x:v>
      </x:c>
      <x:c r="E141" t="str">
        <x:v>Negative</x:v>
      </x:c>
      <x:c r="F141" t="n">
        <x:v>1</x:v>
      </x:c>
      <x:c r="G141" t="n">
        <x:v>1</x:v>
      </x:c>
      <x:c r="H141" t="str"/>
    </x:row>
    <x:row r="142">
      <x:c r="A142" t="str">
        <x:v>True</x:v>
      </x:c>
      <x:c r="B142" t="str">
        <x:v>16776975</x:v>
      </x:c>
      <x:c r="C142" t="str">
        <x:v>F21</x:v>
      </x:c>
      <x:c r="D142" t="str">
        <x:v>Sample 141</x:v>
      </x:c>
      <x:c r="E142" t="str">
        <x:v>Negative</x:v>
      </x:c>
      <x:c r="F142" t="n">
        <x:v>1</x:v>
      </x:c>
      <x:c r="G142" t="n">
        <x:v>1</x:v>
      </x:c>
      <x:c r="H142" t="str"/>
    </x:row>
    <x:row r="143">
      <x:c r="A143" t="str">
        <x:v>True</x:v>
      </x:c>
      <x:c r="B143" t="str">
        <x:v>16776975</x:v>
      </x:c>
      <x:c r="C143" t="str">
        <x:v>F22</x:v>
      </x:c>
      <x:c r="D143" t="str">
        <x:v>Sample 142</x:v>
      </x:c>
      <x:c r="E143" t="str">
        <x:v>Negative</x:v>
      </x:c>
      <x:c r="F143" t="n">
        <x:v>1</x:v>
      </x:c>
      <x:c r="G143" t="n">
        <x:v>1</x:v>
      </x:c>
      <x:c r="H143" t="str"/>
    </x:row>
    <x:row r="144">
      <x:c r="A144" t="str">
        <x:v>True</x:v>
      </x:c>
      <x:c r="B144" t="str">
        <x:v>16776975</x:v>
      </x:c>
      <x:c r="C144" t="str">
        <x:v>F23</x:v>
      </x:c>
      <x:c r="D144" t="str">
        <x:v>Sample 143</x:v>
      </x:c>
      <x:c r="E144" t="str">
        <x:v>Negative</x:v>
      </x:c>
      <x:c r="F144" t="n">
        <x:v>1</x:v>
      </x:c>
      <x:c r="G144" t="n">
        <x:v>1</x:v>
      </x:c>
      <x:c r="H144" t="str"/>
    </x:row>
    <x:row r="145">
      <x:c r="A145" t="str">
        <x:v>True</x:v>
      </x:c>
      <x:c r="B145" t="str">
        <x:v>16776975</x:v>
      </x:c>
      <x:c r="C145" t="str">
        <x:v>F24</x:v>
      </x:c>
      <x:c r="D145" t="str">
        <x:v>Sample 144</x:v>
      </x:c>
      <x:c r="E145" t="str">
        <x:v>Negative</x:v>
      </x:c>
      <x:c r="F145" t="n">
        <x:v>1</x:v>
      </x:c>
      <x:c r="G145" t="n">
        <x:v>1</x:v>
      </x:c>
      <x:c r="H145" t="str"/>
    </x:row>
    <x:row r="146">
      <x:c r="A146" t="str">
        <x:v>True</x:v>
      </x:c>
      <x:c r="B146" t="str">
        <x:v>16744448</x:v>
      </x:c>
      <x:c r="C146" t="str">
        <x:v>G1</x:v>
      </x:c>
      <x:c r="D146" t="str">
        <x:v>Sample 145</x:v>
      </x:c>
      <x:c r="E146" t="str">
        <x:v>1</x:v>
      </x:c>
      <x:c r="F146" t="n">
        <x:v>0.88</x:v>
      </x:c>
      <x:c r="G146" t="n">
        <x:v>0.49</x:v>
      </x:c>
      <x:c r="H146" t="str"/>
    </x:row>
    <x:row r="147">
      <x:c r="A147" t="str">
        <x:v>True</x:v>
      </x:c>
      <x:c r="B147" t="str">
        <x:v>16744448</x:v>
      </x:c>
      <x:c r="C147" t="str">
        <x:v>G2</x:v>
      </x:c>
      <x:c r="D147" t="str">
        <x:v>Sample 146</x:v>
      </x:c>
      <x:c r="E147" t="str">
        <x:v>1</x:v>
      </x:c>
      <x:c r="F147" t="n">
        <x:v>0.88</x:v>
      </x:c>
      <x:c r="G147" t="n">
        <x:v>0.49</x:v>
      </x:c>
      <x:c r="H147" t="str"/>
    </x:row>
    <x:row r="148">
      <x:c r="A148" t="str">
        <x:v>True</x:v>
      </x:c>
      <x:c r="B148" t="str">
        <x:v>16744448</x:v>
      </x:c>
      <x:c r="C148" t="str">
        <x:v>G3</x:v>
      </x:c>
      <x:c r="D148" t="str">
        <x:v>Sample 147</x:v>
      </x:c>
      <x:c r="E148" t="str">
        <x:v>1</x:v>
      </x:c>
      <x:c r="F148" t="n">
        <x:v>0.87</x:v>
      </x:c>
      <x:c r="G148" t="n">
        <x:v>0.49</x:v>
      </x:c>
      <x:c r="H148" t="str"/>
    </x:row>
    <x:row r="149">
      <x:c r="A149" t="str">
        <x:v>True</x:v>
      </x:c>
      <x:c r="B149" t="str">
        <x:v>16744448</x:v>
      </x:c>
      <x:c r="C149" t="str">
        <x:v>G4</x:v>
      </x:c>
      <x:c r="D149" t="str">
        <x:v>Sample 148</x:v>
      </x:c>
      <x:c r="E149" t="str">
        <x:v>1</x:v>
      </x:c>
      <x:c r="F149" t="n">
        <x:v>0.87</x:v>
      </x:c>
      <x:c r="G149" t="n">
        <x:v>0.49</x:v>
      </x:c>
      <x:c r="H149" t="str"/>
    </x:row>
    <x:row r="150">
      <x:c r="A150" t="str">
        <x:v>True</x:v>
      </x:c>
      <x:c r="B150" t="str">
        <x:v>16744448</x:v>
      </x:c>
      <x:c r="C150" t="str">
        <x:v>G5</x:v>
      </x:c>
      <x:c r="D150" t="str">
        <x:v>Sample 149</x:v>
      </x:c>
      <x:c r="E150" t="str">
        <x:v>1</x:v>
      </x:c>
      <x:c r="F150" t="n">
        <x:v>0.97</x:v>
      </x:c>
      <x:c r="G150" t="n">
        <x:v>0.13</x:v>
      </x:c>
      <x:c r="H150" t="str"/>
    </x:row>
    <x:row r="151">
      <x:c r="A151" t="str">
        <x:v>True</x:v>
      </x:c>
      <x:c r="B151" t="str">
        <x:v>16744448</x:v>
      </x:c>
      <x:c r="C151" t="str">
        <x:v>G6</x:v>
      </x:c>
      <x:c r="D151" t="str">
        <x:v>Sample 150</x:v>
      </x:c>
      <x:c r="E151" t="str">
        <x:v>1</x:v>
      </x:c>
      <x:c r="F151" t="n">
        <x:v>0.97</x:v>
      </x:c>
      <x:c r="G151" t="n">
        <x:v>0.14</x:v>
      </x:c>
      <x:c r="H151" t="str"/>
    </x:row>
    <x:row r="152">
      <x:c r="A152" t="str">
        <x:v>True</x:v>
      </x:c>
      <x:c r="B152" t="str">
        <x:v>16744448</x:v>
      </x:c>
      <x:c r="C152" t="str">
        <x:v>G7</x:v>
      </x:c>
      <x:c r="D152" t="str">
        <x:v>Sample 151</x:v>
      </x:c>
      <x:c r="E152" t="str">
        <x:v>1</x:v>
      </x:c>
      <x:c r="F152" t="n">
        <x:v>0.97</x:v>
      </x:c>
      <x:c r="G152" t="n">
        <x:v>0.13</x:v>
      </x:c>
      <x:c r="H152" t="str"/>
    </x:row>
    <x:row r="153">
      <x:c r="A153" t="str">
        <x:v>True</x:v>
      </x:c>
      <x:c r="B153" t="str">
        <x:v>16744448</x:v>
      </x:c>
      <x:c r="C153" t="str">
        <x:v>G8</x:v>
      </x:c>
      <x:c r="D153" t="str">
        <x:v>Sample 152</x:v>
      </x:c>
      <x:c r="E153" t="str">
        <x:v>1</x:v>
      </x:c>
      <x:c r="F153" t="n">
        <x:v>0.96</x:v>
      </x:c>
      <x:c r="G153" t="n">
        <x:v>0.12</x:v>
      </x:c>
      <x:c r="H153" t="str"/>
    </x:row>
    <x:row r="154">
      <x:c r="A154" t="str">
        <x:v>True</x:v>
      </x:c>
      <x:c r="B154" t="str">
        <x:v>255</x:v>
      </x:c>
      <x:c r="C154" t="str">
        <x:v>G9</x:v>
      </x:c>
      <x:c r="D154" t="str">
        <x:v>Sample 153</x:v>
      </x:c>
      <x:c r="E154" t="str">
        <x:v>2</x:v>
      </x:c>
      <x:c r="F154" t="n">
        <x:v>0.98</x:v>
      </x:c>
      <x:c r="G154" t="n">
        <x:v>0.54</x:v>
      </x:c>
      <x:c r="H154" t="str"/>
    </x:row>
    <x:row r="155">
      <x:c r="A155" t="str">
        <x:v>True</x:v>
      </x:c>
      <x:c r="B155" t="str">
        <x:v>255</x:v>
      </x:c>
      <x:c r="C155" t="str">
        <x:v>G10</x:v>
      </x:c>
      <x:c r="D155" t="str">
        <x:v>Sample 154</x:v>
      </x:c>
      <x:c r="E155" t="str">
        <x:v>2</x:v>
      </x:c>
      <x:c r="F155" t="n">
        <x:v>1</x:v>
      </x:c>
      <x:c r="G155" t="n">
        <x:v>0.48</x:v>
      </x:c>
      <x:c r="H155" t="str"/>
    </x:row>
    <x:row r="156">
      <x:c r="A156" t="str">
        <x:v>True</x:v>
      </x:c>
      <x:c r="B156" t="str">
        <x:v>255</x:v>
      </x:c>
      <x:c r="C156" t="str">
        <x:v>G11</x:v>
      </x:c>
      <x:c r="D156" t="str">
        <x:v>Sample 155</x:v>
      </x:c>
      <x:c r="E156" t="str">
        <x:v>2</x:v>
      </x:c>
      <x:c r="F156" t="n">
        <x:v>0.99</x:v>
      </x:c>
      <x:c r="G156" t="n">
        <x:v>0.46</x:v>
      </x:c>
      <x:c r="H156" t="str"/>
    </x:row>
    <x:row r="157">
      <x:c r="A157" t="str">
        <x:v>True</x:v>
      </x:c>
      <x:c r="B157" t="str">
        <x:v>255</x:v>
      </x:c>
      <x:c r="C157" t="str">
        <x:v>G12</x:v>
      </x:c>
      <x:c r="D157" t="str">
        <x:v>Sample 156</x:v>
      </x:c>
      <x:c r="E157" t="str">
        <x:v>2</x:v>
      </x:c>
      <x:c r="F157" t="n">
        <x:v>0.99</x:v>
      </x:c>
      <x:c r="G157" t="n">
        <x:v>0.47</x:v>
      </x:c>
      <x:c r="H157" t="str"/>
    </x:row>
    <x:row r="158">
      <x:c r="A158" t="str">
        <x:v>True</x:v>
      </x:c>
      <x:c r="B158" t="str">
        <x:v>16744448</x:v>
      </x:c>
      <x:c r="C158" t="str">
        <x:v>G13</x:v>
      </x:c>
      <x:c r="D158" t="str">
        <x:v>Sample 157</x:v>
      </x:c>
      <x:c r="E158" t="str">
        <x:v>1</x:v>
      </x:c>
      <x:c r="F158" t="n">
        <x:v>0.91</x:v>
      </x:c>
      <x:c r="G158" t="n">
        <x:v>0.11</x:v>
      </x:c>
      <x:c r="H158" t="str"/>
    </x:row>
    <x:row r="159">
      <x:c r="A159" t="str">
        <x:v>True</x:v>
      </x:c>
      <x:c r="B159" t="str">
        <x:v>16711935</x:v>
      </x:c>
      <x:c r="C159" t="str">
        <x:v>G14</x:v>
      </x:c>
      <x:c r="D159" t="str">
        <x:v>Sample 158</x:v>
      </x:c>
      <x:c r="E159" t="str">
        <x:v>4</x:v>
      </x:c>
      <x:c r="F159" t="n">
        <x:v>0.95</x:v>
      </x:c>
      <x:c r="G159" t="n">
        <x:v>0.19</x:v>
      </x:c>
      <x:c r="H159" t="str"/>
    </x:row>
    <x:row r="160">
      <x:c r="A160" t="str">
        <x:v>True</x:v>
      </x:c>
      <x:c r="B160" t="str">
        <x:v>16744448</x:v>
      </x:c>
      <x:c r="C160" t="str">
        <x:v>G15</x:v>
      </x:c>
      <x:c r="D160" t="str">
        <x:v>Sample 159</x:v>
      </x:c>
      <x:c r="E160" t="str">
        <x:v>1</x:v>
      </x:c>
      <x:c r="F160" t="n">
        <x:v>0.96</x:v>
      </x:c>
      <x:c r="G160" t="n">
        <x:v>0.24</x:v>
      </x:c>
      <x:c r="H160" t="str"/>
    </x:row>
    <x:row r="161">
      <x:c r="A161" t="str">
        <x:v>True</x:v>
      </x:c>
      <x:c r="B161" t="str">
        <x:v>16744448</x:v>
      </x:c>
      <x:c r="C161" t="str">
        <x:v>G16</x:v>
      </x:c>
      <x:c r="D161" t="str">
        <x:v>Sample 160</x:v>
      </x:c>
      <x:c r="E161" t="str">
        <x:v>1</x:v>
      </x:c>
      <x:c r="F161" t="n">
        <x:v>0.93</x:v>
      </x:c>
      <x:c r="G161" t="n">
        <x:v>0.16</x:v>
      </x:c>
      <x:c r="H161" t="str"/>
    </x:row>
    <x:row r="162">
      <x:c r="A162" t="str">
        <x:v>True</x:v>
      </x:c>
      <x:c r="B162" t="str">
        <x:v>255</x:v>
      </x:c>
      <x:c r="C162" t="str">
        <x:v>G17</x:v>
      </x:c>
      <x:c r="D162" t="str">
        <x:v>Sample 161</x:v>
      </x:c>
      <x:c r="E162" t="str">
        <x:v>2</x:v>
      </x:c>
      <x:c r="F162" t="n">
        <x:v>0.99</x:v>
      </x:c>
      <x:c r="G162" t="n">
        <x:v>0.77</x:v>
      </x:c>
      <x:c r="H162" t="str"/>
    </x:row>
    <x:row r="163">
      <x:c r="A163" t="str">
        <x:v>True</x:v>
      </x:c>
      <x:c r="B163" t="str">
        <x:v>255</x:v>
      </x:c>
      <x:c r="C163" t="str">
        <x:v>G18</x:v>
      </x:c>
      <x:c r="D163" t="str">
        <x:v>Sample 162</x:v>
      </x:c>
      <x:c r="E163" t="str">
        <x:v>2</x:v>
      </x:c>
      <x:c r="F163" t="n">
        <x:v>0.98</x:v>
      </x:c>
      <x:c r="G163" t="n">
        <x:v>0.78</x:v>
      </x:c>
      <x:c r="H163" t="str"/>
    </x:row>
    <x:row r="164">
      <x:c r="A164" t="str">
        <x:v>True</x:v>
      </x:c>
      <x:c r="B164" t="str">
        <x:v>255</x:v>
      </x:c>
      <x:c r="C164" t="str">
        <x:v>G19</x:v>
      </x:c>
      <x:c r="D164" t="str">
        <x:v>Sample 163</x:v>
      </x:c>
      <x:c r="E164" t="str">
        <x:v>2</x:v>
      </x:c>
      <x:c r="F164" t="n">
        <x:v>0.98</x:v>
      </x:c>
      <x:c r="G164" t="n">
        <x:v>0.76</x:v>
      </x:c>
      <x:c r="H164" t="str"/>
    </x:row>
    <x:row r="165">
      <x:c r="A165" t="str">
        <x:v>True</x:v>
      </x:c>
      <x:c r="B165" t="str">
        <x:v>255</x:v>
      </x:c>
      <x:c r="C165" t="str">
        <x:v>G20</x:v>
      </x:c>
      <x:c r="D165" t="str">
        <x:v>Sample 164</x:v>
      </x:c>
      <x:c r="E165" t="str">
        <x:v>2</x:v>
      </x:c>
      <x:c r="F165" t="n">
        <x:v>0.98</x:v>
      </x:c>
      <x:c r="G165" t="n">
        <x:v>0.77</x:v>
      </x:c>
      <x:c r="H165" t="str"/>
    </x:row>
    <x:row r="166">
      <x:c r="A166" t="str">
        <x:v>True</x:v>
      </x:c>
      <x:c r="B166" t="str">
        <x:v>3200768</x:v>
      </x:c>
      <x:c r="C166" t="str">
        <x:v>G21</x:v>
      </x:c>
      <x:c r="D166" t="str">
        <x:v>Sample 165</x:v>
      </x:c>
      <x:c r="E166" t="str">
        <x:v>3</x:v>
      </x:c>
      <x:c r="F166" t="n">
        <x:v>0.89</x:v>
      </x:c>
      <x:c r="G166" t="n">
        <x:v>0.87</x:v>
      </x:c>
      <x:c r="H166" t="str"/>
    </x:row>
    <x:row r="167">
      <x:c r="A167" t="str">
        <x:v>True</x:v>
      </x:c>
      <x:c r="B167" t="str">
        <x:v>3200768</x:v>
      </x:c>
      <x:c r="C167" t="str">
        <x:v>G22</x:v>
      </x:c>
      <x:c r="D167" t="str">
        <x:v>Sample 166</x:v>
      </x:c>
      <x:c r="E167" t="str">
        <x:v>3</x:v>
      </x:c>
      <x:c r="F167" t="n">
        <x:v>0.92</x:v>
      </x:c>
      <x:c r="G167" t="n">
        <x:v>0.9</x:v>
      </x:c>
      <x:c r="H167" t="str"/>
    </x:row>
    <x:row r="168">
      <x:c r="A168" t="str">
        <x:v>True</x:v>
      </x:c>
      <x:c r="B168" t="str">
        <x:v>3200768</x:v>
      </x:c>
      <x:c r="C168" t="str">
        <x:v>G23</x:v>
      </x:c>
      <x:c r="D168" t="str">
        <x:v>Sample 167</x:v>
      </x:c>
      <x:c r="E168" t="str">
        <x:v>3</x:v>
      </x:c>
      <x:c r="F168" t="n">
        <x:v>0.89</x:v>
      </x:c>
      <x:c r="G168" t="n">
        <x:v>0.88</x:v>
      </x:c>
      <x:c r="H168" t="str"/>
    </x:row>
    <x:row r="169">
      <x:c r="A169" t="str">
        <x:v>True</x:v>
      </x:c>
      <x:c r="B169" t="str">
        <x:v>3200768</x:v>
      </x:c>
      <x:c r="C169" t="str">
        <x:v>G24</x:v>
      </x:c>
      <x:c r="D169" t="str">
        <x:v>Sample 168</x:v>
      </x:c>
      <x:c r="E169" t="str">
        <x:v>3</x:v>
      </x:c>
      <x:c r="F169" t="n">
        <x:v>0.93</x:v>
      </x:c>
      <x:c r="G169" t="n">
        <x:v>0.91</x:v>
      </x:c>
      <x:c r="H169" t="str"/>
    </x:row>
    <x:row r="170">
      <x:c r="A170" t="str">
        <x:v>True</x:v>
      </x:c>
      <x:c r="B170" t="str">
        <x:v>16776975</x:v>
      </x:c>
      <x:c r="C170" t="str">
        <x:v>H1</x:v>
      </x:c>
      <x:c r="D170" t="str">
        <x:v>Sample 169</x:v>
      </x:c>
      <x:c r="E170" t="str">
        <x:v>Negative</x:v>
      </x:c>
      <x:c r="F170" t="n">
        <x:v>1</x:v>
      </x:c>
      <x:c r="G170" t="n">
        <x:v>1</x:v>
      </x:c>
      <x:c r="H170" t="str"/>
    </x:row>
    <x:row r="171">
      <x:c r="A171" t="str">
        <x:v>True</x:v>
      </x:c>
      <x:c r="B171" t="str">
        <x:v>16776975</x:v>
      </x:c>
      <x:c r="C171" t="str">
        <x:v>H2</x:v>
      </x:c>
      <x:c r="D171" t="str">
        <x:v>Sample 170</x:v>
      </x:c>
      <x:c r="E171" t="str">
        <x:v>Negative</x:v>
      </x:c>
      <x:c r="F171" t="n">
        <x:v>1</x:v>
      </x:c>
      <x:c r="G171" t="n">
        <x:v>1</x:v>
      </x:c>
      <x:c r="H171" t="str"/>
    </x:row>
    <x:row r="172">
      <x:c r="A172" t="str">
        <x:v>True</x:v>
      </x:c>
      <x:c r="B172" t="str">
        <x:v>16776975</x:v>
      </x:c>
      <x:c r="C172" t="str">
        <x:v>H3</x:v>
      </x:c>
      <x:c r="D172" t="str">
        <x:v>Sample 171</x:v>
      </x:c>
      <x:c r="E172" t="str">
        <x:v>Negative</x:v>
      </x:c>
      <x:c r="F172" t="n">
        <x:v>1</x:v>
      </x:c>
      <x:c r="G172" t="n">
        <x:v>1</x:v>
      </x:c>
      <x:c r="H172" t="str"/>
    </x:row>
    <x:row r="173">
      <x:c r="A173" t="str">
        <x:v>True</x:v>
      </x:c>
      <x:c r="B173" t="str">
        <x:v>16776975</x:v>
      </x:c>
      <x:c r="C173" t="str">
        <x:v>H4</x:v>
      </x:c>
      <x:c r="D173" t="str">
        <x:v>Sample 172</x:v>
      </x:c>
      <x:c r="E173" t="str">
        <x:v>Negative</x:v>
      </x:c>
      <x:c r="F173" t="n">
        <x:v>1</x:v>
      </x:c>
      <x:c r="G173" t="n">
        <x:v>1</x:v>
      </x:c>
      <x:c r="H173" t="str"/>
    </x:row>
    <x:row r="174">
      <x:c r="A174" t="str">
        <x:v>True</x:v>
      </x:c>
      <x:c r="B174" t="str">
        <x:v>16776975</x:v>
      </x:c>
      <x:c r="C174" t="str">
        <x:v>H5</x:v>
      </x:c>
      <x:c r="D174" t="str">
        <x:v>Sample 173</x:v>
      </x:c>
      <x:c r="E174" t="str">
        <x:v>Negative</x:v>
      </x:c>
      <x:c r="F174" t="n">
        <x:v>1</x:v>
      </x:c>
      <x:c r="G174" t="n">
        <x:v>1</x:v>
      </x:c>
      <x:c r="H174" t="str"/>
    </x:row>
    <x:row r="175">
      <x:c r="A175" t="str">
        <x:v>True</x:v>
      </x:c>
      <x:c r="B175" t="str">
        <x:v>16776975</x:v>
      </x:c>
      <x:c r="C175" t="str">
        <x:v>H6</x:v>
      </x:c>
      <x:c r="D175" t="str">
        <x:v>Sample 174</x:v>
      </x:c>
      <x:c r="E175" t="str">
        <x:v>Negative</x:v>
      </x:c>
      <x:c r="F175" t="n">
        <x:v>1</x:v>
      </x:c>
      <x:c r="G175" t="n">
        <x:v>1</x:v>
      </x:c>
      <x:c r="H175" t="str"/>
    </x:row>
    <x:row r="176">
      <x:c r="A176" t="str">
        <x:v>True</x:v>
      </x:c>
      <x:c r="B176" t="str">
        <x:v>16776975</x:v>
      </x:c>
      <x:c r="C176" t="str">
        <x:v>H7</x:v>
      </x:c>
      <x:c r="D176" t="str">
        <x:v>Sample 175</x:v>
      </x:c>
      <x:c r="E176" t="str">
        <x:v>Negative</x:v>
      </x:c>
      <x:c r="F176" t="n">
        <x:v>1</x:v>
      </x:c>
      <x:c r="G176" t="n">
        <x:v>1</x:v>
      </x:c>
      <x:c r="H176" t="str"/>
    </x:row>
    <x:row r="177">
      <x:c r="A177" t="str">
        <x:v>True</x:v>
      </x:c>
      <x:c r="B177" t="str">
        <x:v>16776975</x:v>
      </x:c>
      <x:c r="C177" t="str">
        <x:v>H8</x:v>
      </x:c>
      <x:c r="D177" t="str">
        <x:v>Sample 176</x:v>
      </x:c>
      <x:c r="E177" t="str">
        <x:v>Negative</x:v>
      </x:c>
      <x:c r="F177" t="n">
        <x:v>1</x:v>
      </x:c>
      <x:c r="G177" t="n">
        <x:v>1</x:v>
      </x:c>
      <x:c r="H177" t="str"/>
    </x:row>
    <x:row r="178">
      <x:c r="A178" t="str">
        <x:v>True</x:v>
      </x:c>
      <x:c r="B178" t="str">
        <x:v>16776975</x:v>
      </x:c>
      <x:c r="C178" t="str">
        <x:v>H9</x:v>
      </x:c>
      <x:c r="D178" t="str">
        <x:v>Sample 177</x:v>
      </x:c>
      <x:c r="E178" t="str">
        <x:v>Negative</x:v>
      </x:c>
      <x:c r="F178" t="n">
        <x:v>1</x:v>
      </x:c>
      <x:c r="G178" t="n">
        <x:v>1</x:v>
      </x:c>
      <x:c r="H178" t="str"/>
    </x:row>
    <x:row r="179">
      <x:c r="A179" t="str">
        <x:v>True</x:v>
      </x:c>
      <x:c r="B179" t="str">
        <x:v>16776975</x:v>
      </x:c>
      <x:c r="C179" t="str">
        <x:v>H10</x:v>
      </x:c>
      <x:c r="D179" t="str">
        <x:v>Sample 178</x:v>
      </x:c>
      <x:c r="E179" t="str">
        <x:v>Negative</x:v>
      </x:c>
      <x:c r="F179" t="n">
        <x:v>1</x:v>
      </x:c>
      <x:c r="G179" t="n">
        <x:v>1</x:v>
      </x:c>
      <x:c r="H179" t="str"/>
    </x:row>
    <x:row r="180">
      <x:c r="A180" t="str">
        <x:v>True</x:v>
      </x:c>
      <x:c r="B180" t="str">
        <x:v>16776975</x:v>
      </x:c>
      <x:c r="C180" t="str">
        <x:v>H11</x:v>
      </x:c>
      <x:c r="D180" t="str">
        <x:v>Sample 179</x:v>
      </x:c>
      <x:c r="E180" t="str">
        <x:v>Negative</x:v>
      </x:c>
      <x:c r="F180" t="n">
        <x:v>1</x:v>
      </x:c>
      <x:c r="G180" t="n">
        <x:v>1</x:v>
      </x:c>
      <x:c r="H180" t="str"/>
    </x:row>
    <x:row r="181">
      <x:c r="A181" t="str">
        <x:v>True</x:v>
      </x:c>
      <x:c r="B181" t="str">
        <x:v>16776975</x:v>
      </x:c>
      <x:c r="C181" t="str">
        <x:v>H12</x:v>
      </x:c>
      <x:c r="D181" t="str">
        <x:v>Sample 180</x:v>
      </x:c>
      <x:c r="E181" t="str">
        <x:v>Negative</x:v>
      </x:c>
      <x:c r="F181" t="n">
        <x:v>1</x:v>
      </x:c>
      <x:c r="G181" t="n">
        <x:v>1</x:v>
      </x:c>
      <x:c r="H181" t="str"/>
    </x:row>
    <x:row r="182">
      <x:c r="A182" t="str">
        <x:v>True</x:v>
      </x:c>
      <x:c r="B182" t="str">
        <x:v>16776975</x:v>
      </x:c>
      <x:c r="C182" t="str">
        <x:v>H13</x:v>
      </x:c>
      <x:c r="D182" t="str">
        <x:v>Sample 181</x:v>
      </x:c>
      <x:c r="E182" t="str">
        <x:v>Negative</x:v>
      </x:c>
      <x:c r="F182" t="n">
        <x:v>1</x:v>
      </x:c>
      <x:c r="G182" t="n">
        <x:v>1</x:v>
      </x:c>
      <x:c r="H182" t="str"/>
    </x:row>
    <x:row r="183">
      <x:c r="A183" t="str">
        <x:v>True</x:v>
      </x:c>
      <x:c r="B183" t="str">
        <x:v>16776975</x:v>
      </x:c>
      <x:c r="C183" t="str">
        <x:v>H14</x:v>
      </x:c>
      <x:c r="D183" t="str">
        <x:v>Sample 182</x:v>
      </x:c>
      <x:c r="E183" t="str">
        <x:v>Negative</x:v>
      </x:c>
      <x:c r="F183" t="n">
        <x:v>1</x:v>
      </x:c>
      <x:c r="G183" t="n">
        <x:v>1</x:v>
      </x:c>
      <x:c r="H183" t="str"/>
    </x:row>
    <x:row r="184">
      <x:c r="A184" t="str">
        <x:v>True</x:v>
      </x:c>
      <x:c r="B184" t="str">
        <x:v>16776975</x:v>
      </x:c>
      <x:c r="C184" t="str">
        <x:v>H15</x:v>
      </x:c>
      <x:c r="D184" t="str">
        <x:v>Sample 183</x:v>
      </x:c>
      <x:c r="E184" t="str">
        <x:v>Negative</x:v>
      </x:c>
      <x:c r="F184" t="n">
        <x:v>1</x:v>
      </x:c>
      <x:c r="G184" t="n">
        <x:v>1</x:v>
      </x:c>
      <x:c r="H184" t="str"/>
    </x:row>
    <x:row r="185">
      <x:c r="A185" t="str">
        <x:v>True</x:v>
      </x:c>
      <x:c r="B185" t="str">
        <x:v>16776975</x:v>
      </x:c>
      <x:c r="C185" t="str">
        <x:v>H16</x:v>
      </x:c>
      <x:c r="D185" t="str">
        <x:v>Sample 184</x:v>
      </x:c>
      <x:c r="E185" t="str">
        <x:v>Negative</x:v>
      </x:c>
      <x:c r="F185" t="n">
        <x:v>1</x:v>
      </x:c>
      <x:c r="G185" t="n">
        <x:v>1</x:v>
      </x:c>
      <x:c r="H185" t="str"/>
    </x:row>
    <x:row r="186">
      <x:c r="A186" t="str">
        <x:v>True</x:v>
      </x:c>
      <x:c r="B186" t="str">
        <x:v>16776975</x:v>
      </x:c>
      <x:c r="C186" t="str">
        <x:v>H17</x:v>
      </x:c>
      <x:c r="D186" t="str">
        <x:v>Sample 185</x:v>
      </x:c>
      <x:c r="E186" t="str">
        <x:v>Negative</x:v>
      </x:c>
      <x:c r="F186" t="n">
        <x:v>1</x:v>
      </x:c>
      <x:c r="G186" t="n">
        <x:v>1</x:v>
      </x:c>
      <x:c r="H186" t="str"/>
    </x:row>
    <x:row r="187">
      <x:c r="A187" t="str">
        <x:v>True</x:v>
      </x:c>
      <x:c r="B187" t="str">
        <x:v>16776975</x:v>
      </x:c>
      <x:c r="C187" t="str">
        <x:v>H18</x:v>
      </x:c>
      <x:c r="D187" t="str">
        <x:v>Sample 186</x:v>
      </x:c>
      <x:c r="E187" t="str">
        <x:v>Negative</x:v>
      </x:c>
      <x:c r="F187" t="n">
        <x:v>1</x:v>
      </x:c>
      <x:c r="G187" t="n">
        <x:v>1</x:v>
      </x:c>
      <x:c r="H187" t="str"/>
    </x:row>
    <x:row r="188">
      <x:c r="A188" t="str">
        <x:v>True</x:v>
      </x:c>
      <x:c r="B188" t="str">
        <x:v>16776975</x:v>
      </x:c>
      <x:c r="C188" t="str">
        <x:v>H19</x:v>
      </x:c>
      <x:c r="D188" t="str">
        <x:v>Sample 187</x:v>
      </x:c>
      <x:c r="E188" t="str">
        <x:v>Negative</x:v>
      </x:c>
      <x:c r="F188" t="n">
        <x:v>1</x:v>
      </x:c>
      <x:c r="G188" t="n">
        <x:v>1</x:v>
      </x:c>
      <x:c r="H188" t="str"/>
    </x:row>
    <x:row r="189">
      <x:c r="A189" t="str">
        <x:v>True</x:v>
      </x:c>
      <x:c r="B189" t="str">
        <x:v>16776975</x:v>
      </x:c>
      <x:c r="C189" t="str">
        <x:v>H20</x:v>
      </x:c>
      <x:c r="D189" t="str">
        <x:v>Sample 188</x:v>
      </x:c>
      <x:c r="E189" t="str">
        <x:v>Negative</x:v>
      </x:c>
      <x:c r="F189" t="n">
        <x:v>1</x:v>
      </x:c>
      <x:c r="G189" t="n">
        <x:v>1</x:v>
      </x:c>
      <x:c r="H189" t="str"/>
    </x:row>
    <x:row r="190">
      <x:c r="A190" t="str">
        <x:v>True</x:v>
      </x:c>
      <x:c r="B190" t="str">
        <x:v>16776975</x:v>
      </x:c>
      <x:c r="C190" t="str">
        <x:v>H21</x:v>
      </x:c>
      <x:c r="D190" t="str">
        <x:v>Sample 189</x:v>
      </x:c>
      <x:c r="E190" t="str">
        <x:v>Negative</x:v>
      </x:c>
      <x:c r="F190" t="n">
        <x:v>1</x:v>
      </x:c>
      <x:c r="G190" t="n">
        <x:v>1</x:v>
      </x:c>
      <x:c r="H190" t="str"/>
    </x:row>
    <x:row r="191">
      <x:c r="A191" t="str">
        <x:v>True</x:v>
      </x:c>
      <x:c r="B191" t="str">
        <x:v>16776975</x:v>
      </x:c>
      <x:c r="C191" t="str">
        <x:v>H22</x:v>
      </x:c>
      <x:c r="D191" t="str">
        <x:v>Sample 190</x:v>
      </x:c>
      <x:c r="E191" t="str">
        <x:v>Negative</x:v>
      </x:c>
      <x:c r="F191" t="n">
        <x:v>1</x:v>
      </x:c>
      <x:c r="G191" t="n">
        <x:v>1</x:v>
      </x:c>
      <x:c r="H191" t="str"/>
    </x:row>
    <x:row r="192">
      <x:c r="A192" t="str">
        <x:v>True</x:v>
      </x:c>
      <x:c r="B192" t="str">
        <x:v>16776975</x:v>
      </x:c>
      <x:c r="C192" t="str">
        <x:v>H23</x:v>
      </x:c>
      <x:c r="D192" t="str">
        <x:v>Sample 191</x:v>
      </x:c>
      <x:c r="E192" t="str">
        <x:v>Negative</x:v>
      </x:c>
      <x:c r="F192" t="n">
        <x:v>1</x:v>
      </x:c>
      <x:c r="G192" t="n">
        <x:v>1</x:v>
      </x:c>
      <x:c r="H192" t="str"/>
    </x:row>
    <x:row r="193">
      <x:c r="A193" t="str">
        <x:v>True</x:v>
      </x:c>
      <x:c r="B193" t="str">
        <x:v>16776975</x:v>
      </x:c>
      <x:c r="C193" t="str">
        <x:v>H24</x:v>
      </x:c>
      <x:c r="D193" t="str">
        <x:v>Sample 192</x:v>
      </x:c>
      <x:c r="E193" t="str">
        <x:v>Negative</x:v>
      </x:c>
      <x:c r="F193" t="n">
        <x:v>1</x:v>
      </x:c>
      <x:c r="G193" t="n">
        <x:v>1</x:v>
      </x:c>
      <x:c r="H193" t="str"/>
    </x:row>
    <x:row r="194">
      <x:c r="A194" t="str">
        <x:v>True</x:v>
      </x:c>
      <x:c r="B194" t="str">
        <x:v>16744448</x:v>
      </x:c>
      <x:c r="C194" t="str">
        <x:v>I1</x:v>
      </x:c>
      <x:c r="D194" t="str">
        <x:v>Sample 193</x:v>
      </x:c>
      <x:c r="E194" t="str">
        <x:v>1</x:v>
      </x:c>
      <x:c r="F194" t="n">
        <x:v>0.81</x:v>
      </x:c>
      <x:c r="G194" t="n">
        <x:v>0.49</x:v>
      </x:c>
      <x:c r="H194" t="str"/>
    </x:row>
    <x:row r="195">
      <x:c r="A195" t="str">
        <x:v>True</x:v>
      </x:c>
      <x:c r="B195" t="str">
        <x:v>16744448</x:v>
      </x:c>
      <x:c r="C195" t="str">
        <x:v>I2</x:v>
      </x:c>
      <x:c r="D195" t="str">
        <x:v>Sample 194</x:v>
      </x:c>
      <x:c r="E195" t="str">
        <x:v>1</x:v>
      </x:c>
      <x:c r="F195" t="n">
        <x:v>0.87</x:v>
      </x:c>
      <x:c r="G195" t="n">
        <x:v>0.49</x:v>
      </x:c>
      <x:c r="H195" t="str"/>
    </x:row>
    <x:row r="196">
      <x:c r="A196" t="str">
        <x:v>True</x:v>
      </x:c>
      <x:c r="B196" t="str">
        <x:v>16744448</x:v>
      </x:c>
      <x:c r="C196" t="str">
        <x:v>I3</x:v>
      </x:c>
      <x:c r="D196" t="str">
        <x:v>Sample 195</x:v>
      </x:c>
      <x:c r="E196" t="str">
        <x:v>1</x:v>
      </x:c>
      <x:c r="F196" t="n">
        <x:v>0.88</x:v>
      </x:c>
      <x:c r="G196" t="n">
        <x:v>0.49</x:v>
      </x:c>
      <x:c r="H196" t="str"/>
    </x:row>
    <x:row r="197">
      <x:c r="A197" t="str">
        <x:v>True</x:v>
      </x:c>
      <x:c r="B197" t="str">
        <x:v>16744448</x:v>
      </x:c>
      <x:c r="C197" t="str">
        <x:v>I4</x:v>
      </x:c>
      <x:c r="D197" t="str">
        <x:v>Sample 196</x:v>
      </x:c>
      <x:c r="E197" t="str">
        <x:v>1</x:v>
      </x:c>
      <x:c r="F197" t="n">
        <x:v>0.88</x:v>
      </x:c>
      <x:c r="G197" t="n">
        <x:v>0.49</x:v>
      </x:c>
      <x:c r="H197" t="str"/>
    </x:row>
    <x:row r="198">
      <x:c r="A198" t="str">
        <x:v>True</x:v>
      </x:c>
      <x:c r="B198" t="str">
        <x:v>16744448</x:v>
      </x:c>
      <x:c r="C198" t="str">
        <x:v>I5</x:v>
      </x:c>
      <x:c r="D198" t="str">
        <x:v>Sample 197</x:v>
      </x:c>
      <x:c r="E198" t="str">
        <x:v>1</x:v>
      </x:c>
      <x:c r="F198" t="n">
        <x:v>0.98</x:v>
      </x:c>
      <x:c r="G198" t="n">
        <x:v>0.17</x:v>
      </x:c>
      <x:c r="H198" t="str"/>
    </x:row>
    <x:row r="199">
      <x:c r="A199" t="str">
        <x:v>True</x:v>
      </x:c>
      <x:c r="B199" t="str">
        <x:v>16744448</x:v>
      </x:c>
      <x:c r="C199" t="str">
        <x:v>I6</x:v>
      </x:c>
      <x:c r="D199" t="str">
        <x:v>Sample 198</x:v>
      </x:c>
      <x:c r="E199" t="str">
        <x:v>1</x:v>
      </x:c>
      <x:c r="F199" t="n">
        <x:v>0.98</x:v>
      </x:c>
      <x:c r="G199" t="n">
        <x:v>0.16</x:v>
      </x:c>
      <x:c r="H199" t="str"/>
    </x:row>
    <x:row r="200">
      <x:c r="A200" t="str">
        <x:v>True</x:v>
      </x:c>
      <x:c r="B200" t="str">
        <x:v>16744448</x:v>
      </x:c>
      <x:c r="C200" t="str">
        <x:v>I7</x:v>
      </x:c>
      <x:c r="D200" t="str">
        <x:v>Sample 199</x:v>
      </x:c>
      <x:c r="E200" t="str">
        <x:v>1</x:v>
      </x:c>
      <x:c r="F200" t="n">
        <x:v>0.98</x:v>
      </x:c>
      <x:c r="G200" t="n">
        <x:v>0.16</x:v>
      </x:c>
      <x:c r="H200" t="str"/>
    </x:row>
    <x:row r="201">
      <x:c r="A201" t="str">
        <x:v>True</x:v>
      </x:c>
      <x:c r="B201" t="str">
        <x:v>16744448</x:v>
      </x:c>
      <x:c r="C201" t="str">
        <x:v>I8</x:v>
      </x:c>
      <x:c r="D201" t="str">
        <x:v>Sample 200</x:v>
      </x:c>
      <x:c r="E201" t="str">
        <x:v>1</x:v>
      </x:c>
      <x:c r="F201" t="n">
        <x:v>0.98</x:v>
      </x:c>
      <x:c r="G201" t="n">
        <x:v>0.15</x:v>
      </x:c>
      <x:c r="H201" t="str"/>
    </x:row>
    <x:row r="202">
      <x:c r="A202" t="str">
        <x:v>True</x:v>
      </x:c>
      <x:c r="B202" t="str">
        <x:v>255</x:v>
      </x:c>
      <x:c r="C202" t="str">
        <x:v>I9</x:v>
      </x:c>
      <x:c r="D202" t="str">
        <x:v>Sample 201</x:v>
      </x:c>
      <x:c r="E202" t="str">
        <x:v>2</x:v>
      </x:c>
      <x:c r="F202" t="n">
        <x:v>0.94</x:v>
      </x:c>
      <x:c r="G202" t="n">
        <x:v>0.57</x:v>
      </x:c>
      <x:c r="H202" t="str"/>
    </x:row>
    <x:row r="203">
      <x:c r="A203" t="str">
        <x:v>True</x:v>
      </x:c>
      <x:c r="B203" t="str">
        <x:v>255</x:v>
      </x:c>
      <x:c r="C203" t="str">
        <x:v>I10</x:v>
      </x:c>
      <x:c r="D203" t="str">
        <x:v>Sample 202</x:v>
      </x:c>
      <x:c r="E203" t="str">
        <x:v>2</x:v>
      </x:c>
      <x:c r="F203" t="n">
        <x:v>0.98</x:v>
      </x:c>
      <x:c r="G203" t="n">
        <x:v>0.47</x:v>
      </x:c>
      <x:c r="H203" t="str"/>
    </x:row>
    <x:row r="204">
      <x:c r="A204" t="str">
        <x:v>True</x:v>
      </x:c>
      <x:c r="B204" t="str">
        <x:v>255</x:v>
      </x:c>
      <x:c r="C204" t="str">
        <x:v>I11</x:v>
      </x:c>
      <x:c r="D204" t="str">
        <x:v>Sample 203</x:v>
      </x:c>
      <x:c r="E204" t="str">
        <x:v>2</x:v>
      </x:c>
      <x:c r="F204" t="n">
        <x:v>0.97</x:v>
      </x:c>
      <x:c r="G204" t="n">
        <x:v>0.48</x:v>
      </x:c>
      <x:c r="H204" t="str"/>
    </x:row>
    <x:row r="205">
      <x:c r="A205" t="str">
        <x:v>True</x:v>
      </x:c>
      <x:c r="B205" t="str">
        <x:v>255</x:v>
      </x:c>
      <x:c r="C205" t="str">
        <x:v>I12</x:v>
      </x:c>
      <x:c r="D205" t="str">
        <x:v>Sample 204</x:v>
      </x:c>
      <x:c r="E205" t="str">
        <x:v>2</x:v>
      </x:c>
      <x:c r="F205" t="n">
        <x:v>0.98</x:v>
      </x:c>
      <x:c r="G205" t="n">
        <x:v>0.54</x:v>
      </x:c>
      <x:c r="H205" t="str"/>
    </x:row>
    <x:row r="206">
      <x:c r="A206" t="str">
        <x:v>True</x:v>
      </x:c>
      <x:c r="B206" t="str">
        <x:v>16711935</x:v>
      </x:c>
      <x:c r="C206" t="str">
        <x:v>I13</x:v>
      </x:c>
      <x:c r="D206" t="str">
        <x:v>Sample 205</x:v>
      </x:c>
      <x:c r="E206" t="str">
        <x:v>4</x:v>
      </x:c>
      <x:c r="F206" t="n">
        <x:v>0.99</x:v>
      </x:c>
      <x:c r="G206" t="n">
        <x:v>0.35</x:v>
      </x:c>
      <x:c r="H206" t="str"/>
    </x:row>
    <x:row r="207">
      <x:c r="A207" t="str">
        <x:v>True</x:v>
      </x:c>
      <x:c r="B207" t="str">
        <x:v>16711935</x:v>
      </x:c>
      <x:c r="C207" t="str">
        <x:v>I14</x:v>
      </x:c>
      <x:c r="D207" t="str">
        <x:v>Sample 206</x:v>
      </x:c>
      <x:c r="E207" t="str">
        <x:v>4</x:v>
      </x:c>
      <x:c r="F207" t="n">
        <x:v>0.99</x:v>
      </x:c>
      <x:c r="G207" t="n">
        <x:v>0.41</x:v>
      </x:c>
      <x:c r="H207" t="str"/>
    </x:row>
    <x:row r="208">
      <x:c r="A208" t="str">
        <x:v>True</x:v>
      </x:c>
      <x:c r="B208" t="str">
        <x:v>16711935</x:v>
      </x:c>
      <x:c r="C208" t="str">
        <x:v>I15</x:v>
      </x:c>
      <x:c r="D208" t="str">
        <x:v>Sample 207</x:v>
      </x:c>
      <x:c r="E208" t="str">
        <x:v>4</x:v>
      </x:c>
      <x:c r="F208" t="n">
        <x:v>0.98</x:v>
      </x:c>
      <x:c r="G208" t="n">
        <x:v>0.31</x:v>
      </x:c>
      <x:c r="H208" t="str"/>
    </x:row>
    <x:row r="209">
      <x:c r="A209" t="str">
        <x:v>True</x:v>
      </x:c>
      <x:c r="B209" t="str">
        <x:v>16711935</x:v>
      </x:c>
      <x:c r="C209" t="str">
        <x:v>I16</x:v>
      </x:c>
      <x:c r="D209" t="str">
        <x:v>Sample 208</x:v>
      </x:c>
      <x:c r="E209" t="str">
        <x:v>4</x:v>
      </x:c>
      <x:c r="F209" t="n">
        <x:v>1</x:v>
      </x:c>
      <x:c r="G209" t="n">
        <x:v>0.41</x:v>
      </x:c>
      <x:c r="H209" t="str"/>
    </x:row>
    <x:row r="210">
      <x:c r="A210" t="str">
        <x:v>True</x:v>
      </x:c>
      <x:c r="B210" t="str">
        <x:v>255</x:v>
      </x:c>
      <x:c r="C210" t="str">
        <x:v>I17</x:v>
      </x:c>
      <x:c r="D210" t="str">
        <x:v>Sample 209</x:v>
      </x:c>
      <x:c r="E210" t="str">
        <x:v>2</x:v>
      </x:c>
      <x:c r="F210" t="n">
        <x:v>0.98</x:v>
      </x:c>
      <x:c r="G210" t="n">
        <x:v>0.73</x:v>
      </x:c>
      <x:c r="H210" t="str"/>
    </x:row>
    <x:row r="211">
      <x:c r="A211" t="str">
        <x:v>True</x:v>
      </x:c>
      <x:c r="B211" t="str">
        <x:v>255</x:v>
      </x:c>
      <x:c r="C211" t="str">
        <x:v>I18</x:v>
      </x:c>
      <x:c r="D211" t="str">
        <x:v>Sample 210</x:v>
      </x:c>
      <x:c r="E211" t="str">
        <x:v>2</x:v>
      </x:c>
      <x:c r="F211" t="n">
        <x:v>0.97</x:v>
      </x:c>
      <x:c r="G211" t="n">
        <x:v>0.72</x:v>
      </x:c>
      <x:c r="H211" t="str"/>
    </x:row>
    <x:row r="212">
      <x:c r="A212" t="str">
        <x:v>True</x:v>
      </x:c>
      <x:c r="B212" t="str">
        <x:v>255</x:v>
      </x:c>
      <x:c r="C212" t="str">
        <x:v>I19</x:v>
      </x:c>
      <x:c r="D212" t="str">
        <x:v>Sample 211</x:v>
      </x:c>
      <x:c r="E212" t="str">
        <x:v>2</x:v>
      </x:c>
      <x:c r="F212" t="n">
        <x:v>0.98</x:v>
      </x:c>
      <x:c r="G212" t="n">
        <x:v>0.75</x:v>
      </x:c>
      <x:c r="H212" t="str"/>
    </x:row>
    <x:row r="213">
      <x:c r="A213" t="str">
        <x:v>True</x:v>
      </x:c>
      <x:c r="B213" t="str">
        <x:v>255</x:v>
      </x:c>
      <x:c r="C213" t="str">
        <x:v>I20</x:v>
      </x:c>
      <x:c r="D213" t="str">
        <x:v>Sample 212</x:v>
      </x:c>
      <x:c r="E213" t="str">
        <x:v>2</x:v>
      </x:c>
      <x:c r="F213" t="n">
        <x:v>0.99</x:v>
      </x:c>
      <x:c r="G213" t="n">
        <x:v>0.77</x:v>
      </x:c>
      <x:c r="H213" t="str"/>
    </x:row>
    <x:row r="214">
      <x:c r="A214" t="str">
        <x:v>True</x:v>
      </x:c>
      <x:c r="B214" t="str">
        <x:v>3200768</x:v>
      </x:c>
      <x:c r="C214" t="str">
        <x:v>I21</x:v>
      </x:c>
      <x:c r="D214" t="str">
        <x:v>Sample 213</x:v>
      </x:c>
      <x:c r="E214" t="str">
        <x:v>3</x:v>
      </x:c>
      <x:c r="F214" t="n">
        <x:v>0.98</x:v>
      </x:c>
      <x:c r="G214" t="n">
        <x:v>0.98</x:v>
      </x:c>
      <x:c r="H214" t="str"/>
    </x:row>
    <x:row r="215">
      <x:c r="A215" t="str">
        <x:v>True</x:v>
      </x:c>
      <x:c r="B215" t="str">
        <x:v>3200768</x:v>
      </x:c>
      <x:c r="C215" t="str">
        <x:v>I22</x:v>
      </x:c>
      <x:c r="D215" t="str">
        <x:v>Sample 214</x:v>
      </x:c>
      <x:c r="E215" t="str">
        <x:v>3</x:v>
      </x:c>
      <x:c r="F215" t="n">
        <x:v>0.99</x:v>
      </x:c>
      <x:c r="G215" t="n">
        <x:v>0.98</x:v>
      </x:c>
      <x:c r="H215" t="str"/>
    </x:row>
    <x:row r="216">
      <x:c r="A216" t="str">
        <x:v>True</x:v>
      </x:c>
      <x:c r="B216" t="str">
        <x:v>3200768</x:v>
      </x:c>
      <x:c r="C216" t="str">
        <x:v>I23</x:v>
      </x:c>
      <x:c r="D216" t="str">
        <x:v>Sample 215</x:v>
      </x:c>
      <x:c r="E216" t="str">
        <x:v>3</x:v>
      </x:c>
      <x:c r="F216" t="n">
        <x:v>0.99</x:v>
      </x:c>
      <x:c r="G216" t="n">
        <x:v>0.98</x:v>
      </x:c>
      <x:c r="H216" t="str"/>
    </x:row>
    <x:row r="217">
      <x:c r="A217" t="str">
        <x:v>True</x:v>
      </x:c>
      <x:c r="B217" t="str">
        <x:v>3200768</x:v>
      </x:c>
      <x:c r="C217" t="str">
        <x:v>I24</x:v>
      </x:c>
      <x:c r="D217" t="str">
        <x:v>Sample 216</x:v>
      </x:c>
      <x:c r="E217" t="str">
        <x:v>3</x:v>
      </x:c>
      <x:c r="F217" t="n">
        <x:v>0.98</x:v>
      </x:c>
      <x:c r="G217" t="n">
        <x:v>0.98</x:v>
      </x:c>
      <x:c r="H217" t="str"/>
    </x:row>
    <x:row r="218">
      <x:c r="A218" t="str">
        <x:v>True</x:v>
      </x:c>
      <x:c r="B218" t="str">
        <x:v>16776975</x:v>
      </x:c>
      <x:c r="C218" t="str">
        <x:v>J1</x:v>
      </x:c>
      <x:c r="D218" t="str">
        <x:v>Sample 217</x:v>
      </x:c>
      <x:c r="E218" t="str">
        <x:v>Negative</x:v>
      </x:c>
      <x:c r="F218" t="n">
        <x:v>1</x:v>
      </x:c>
      <x:c r="G218" t="n">
        <x:v>1</x:v>
      </x:c>
      <x:c r="H218" t="str"/>
    </x:row>
    <x:row r="219">
      <x:c r="A219" t="str">
        <x:v>True</x:v>
      </x:c>
      <x:c r="B219" t="str">
        <x:v>16776975</x:v>
      </x:c>
      <x:c r="C219" t="str">
        <x:v>J2</x:v>
      </x:c>
      <x:c r="D219" t="str">
        <x:v>Sample 218</x:v>
      </x:c>
      <x:c r="E219" t="str">
        <x:v>Negative</x:v>
      </x:c>
      <x:c r="F219" t="n">
        <x:v>1</x:v>
      </x:c>
      <x:c r="G219" t="n">
        <x:v>1</x:v>
      </x:c>
      <x:c r="H219" t="str"/>
    </x:row>
    <x:row r="220">
      <x:c r="A220" t="str">
        <x:v>True</x:v>
      </x:c>
      <x:c r="B220" t="str">
        <x:v>16776975</x:v>
      </x:c>
      <x:c r="C220" t="str">
        <x:v>J3</x:v>
      </x:c>
      <x:c r="D220" t="str">
        <x:v>Sample 219</x:v>
      </x:c>
      <x:c r="E220" t="str">
        <x:v>Negative</x:v>
      </x:c>
      <x:c r="F220" t="n">
        <x:v>1</x:v>
      </x:c>
      <x:c r="G220" t="n">
        <x:v>1</x:v>
      </x:c>
      <x:c r="H220" t="str"/>
    </x:row>
    <x:row r="221">
      <x:c r="A221" t="str">
        <x:v>True</x:v>
      </x:c>
      <x:c r="B221" t="str">
        <x:v>16776975</x:v>
      </x:c>
      <x:c r="C221" t="str">
        <x:v>J4</x:v>
      </x:c>
      <x:c r="D221" t="str">
        <x:v>Sample 220</x:v>
      </x:c>
      <x:c r="E221" t="str">
        <x:v>Negative</x:v>
      </x:c>
      <x:c r="F221" t="n">
        <x:v>1</x:v>
      </x:c>
      <x:c r="G221" t="n">
        <x:v>1</x:v>
      </x:c>
      <x:c r="H221" t="str"/>
    </x:row>
    <x:row r="222">
      <x:c r="A222" t="str">
        <x:v>True</x:v>
      </x:c>
      <x:c r="B222" t="str">
        <x:v>16776975</x:v>
      </x:c>
      <x:c r="C222" t="str">
        <x:v>J5</x:v>
      </x:c>
      <x:c r="D222" t="str">
        <x:v>Sample 221</x:v>
      </x:c>
      <x:c r="E222" t="str">
        <x:v>Negative</x:v>
      </x:c>
      <x:c r="F222" t="n">
        <x:v>1</x:v>
      </x:c>
      <x:c r="G222" t="n">
        <x:v>1</x:v>
      </x:c>
      <x:c r="H222" t="str"/>
    </x:row>
    <x:row r="223">
      <x:c r="A223" t="str">
        <x:v>True</x:v>
      </x:c>
      <x:c r="B223" t="str">
        <x:v>16776975</x:v>
      </x:c>
      <x:c r="C223" t="str">
        <x:v>J6</x:v>
      </x:c>
      <x:c r="D223" t="str">
        <x:v>Sample 222</x:v>
      </x:c>
      <x:c r="E223" t="str">
        <x:v>Negative</x:v>
      </x:c>
      <x:c r="F223" t="n">
        <x:v>1</x:v>
      </x:c>
      <x:c r="G223" t="n">
        <x:v>1</x:v>
      </x:c>
      <x:c r="H223" t="str"/>
    </x:row>
    <x:row r="224">
      <x:c r="A224" t="str">
        <x:v>True</x:v>
      </x:c>
      <x:c r="B224" t="str">
        <x:v>16776975</x:v>
      </x:c>
      <x:c r="C224" t="str">
        <x:v>J7</x:v>
      </x:c>
      <x:c r="D224" t="str">
        <x:v>Sample 223</x:v>
      </x:c>
      <x:c r="E224" t="str">
        <x:v>Negative</x:v>
      </x:c>
      <x:c r="F224" t="n">
        <x:v>1</x:v>
      </x:c>
      <x:c r="G224" t="n">
        <x:v>1</x:v>
      </x:c>
      <x:c r="H224" t="str"/>
    </x:row>
    <x:row r="225">
      <x:c r="A225" t="str">
        <x:v>True</x:v>
      </x:c>
      <x:c r="B225" t="str">
        <x:v>16776975</x:v>
      </x:c>
      <x:c r="C225" t="str">
        <x:v>J8</x:v>
      </x:c>
      <x:c r="D225" t="str">
        <x:v>Sample 224</x:v>
      </x:c>
      <x:c r="E225" t="str">
        <x:v>Negative</x:v>
      </x:c>
      <x:c r="F225" t="n">
        <x:v>1</x:v>
      </x:c>
      <x:c r="G225" t="n">
        <x:v>1</x:v>
      </x:c>
      <x:c r="H225" t="str"/>
    </x:row>
    <x:row r="226">
      <x:c r="A226" t="str">
        <x:v>True</x:v>
      </x:c>
      <x:c r="B226" t="str">
        <x:v>16776975</x:v>
      </x:c>
      <x:c r="C226" t="str">
        <x:v>J9</x:v>
      </x:c>
      <x:c r="D226" t="str">
        <x:v>Sample 225</x:v>
      </x:c>
      <x:c r="E226" t="str">
        <x:v>Negative</x:v>
      </x:c>
      <x:c r="F226" t="n">
        <x:v>1</x:v>
      </x:c>
      <x:c r="G226" t="n">
        <x:v>1</x:v>
      </x:c>
      <x:c r="H226" t="str"/>
    </x:row>
    <x:row r="227">
      <x:c r="A227" t="str">
        <x:v>True</x:v>
      </x:c>
      <x:c r="B227" t="str">
        <x:v>16776975</x:v>
      </x:c>
      <x:c r="C227" t="str">
        <x:v>J10</x:v>
      </x:c>
      <x:c r="D227" t="str">
        <x:v>Sample 226</x:v>
      </x:c>
      <x:c r="E227" t="str">
        <x:v>Negative</x:v>
      </x:c>
      <x:c r="F227" t="n">
        <x:v>1</x:v>
      </x:c>
      <x:c r="G227" t="n">
        <x:v>1</x:v>
      </x:c>
      <x:c r="H227" t="str"/>
    </x:row>
    <x:row r="228">
      <x:c r="A228" t="str">
        <x:v>True</x:v>
      </x:c>
      <x:c r="B228" t="str">
        <x:v>16776975</x:v>
      </x:c>
      <x:c r="C228" t="str">
        <x:v>J11</x:v>
      </x:c>
      <x:c r="D228" t="str">
        <x:v>Sample 227</x:v>
      </x:c>
      <x:c r="E228" t="str">
        <x:v>Negative</x:v>
      </x:c>
      <x:c r="F228" t="n">
        <x:v>1</x:v>
      </x:c>
      <x:c r="G228" t="n">
        <x:v>1</x:v>
      </x:c>
      <x:c r="H228" t="str"/>
    </x:row>
    <x:row r="229">
      <x:c r="A229" t="str">
        <x:v>True</x:v>
      </x:c>
      <x:c r="B229" t="str">
        <x:v>16776975</x:v>
      </x:c>
      <x:c r="C229" t="str">
        <x:v>J12</x:v>
      </x:c>
      <x:c r="D229" t="str">
        <x:v>Sample 228</x:v>
      </x:c>
      <x:c r="E229" t="str">
        <x:v>Negative</x:v>
      </x:c>
      <x:c r="F229" t="n">
        <x:v>1</x:v>
      </x:c>
      <x:c r="G229" t="n">
        <x:v>1</x:v>
      </x:c>
      <x:c r="H229" t="str"/>
    </x:row>
    <x:row r="230">
      <x:c r="A230" t="str">
        <x:v>True</x:v>
      </x:c>
      <x:c r="B230" t="str">
        <x:v>16776975</x:v>
      </x:c>
      <x:c r="C230" t="str">
        <x:v>J13</x:v>
      </x:c>
      <x:c r="D230" t="str">
        <x:v>Sample 229</x:v>
      </x:c>
      <x:c r="E230" t="str">
        <x:v>Negative</x:v>
      </x:c>
      <x:c r="F230" t="n">
        <x:v>1</x:v>
      </x:c>
      <x:c r="G230" t="n">
        <x:v>1</x:v>
      </x:c>
      <x:c r="H230" t="str"/>
    </x:row>
    <x:row r="231">
      <x:c r="A231" t="str">
        <x:v>True</x:v>
      </x:c>
      <x:c r="B231" t="str">
        <x:v>16776975</x:v>
      </x:c>
      <x:c r="C231" t="str">
        <x:v>J14</x:v>
      </x:c>
      <x:c r="D231" t="str">
        <x:v>Sample 230</x:v>
      </x:c>
      <x:c r="E231" t="str">
        <x:v>Negative</x:v>
      </x:c>
      <x:c r="F231" t="n">
        <x:v>1</x:v>
      </x:c>
      <x:c r="G231" t="n">
        <x:v>1</x:v>
      </x:c>
      <x:c r="H231" t="str"/>
    </x:row>
    <x:row r="232">
      <x:c r="A232" t="str">
        <x:v>True</x:v>
      </x:c>
      <x:c r="B232" t="str">
        <x:v>16776975</x:v>
      </x:c>
      <x:c r="C232" t="str">
        <x:v>J15</x:v>
      </x:c>
      <x:c r="D232" t="str">
        <x:v>Sample 231</x:v>
      </x:c>
      <x:c r="E232" t="str">
        <x:v>Negative</x:v>
      </x:c>
      <x:c r="F232" t="n">
        <x:v>1</x:v>
      </x:c>
      <x:c r="G232" t="n">
        <x:v>1</x:v>
      </x:c>
      <x:c r="H232" t="str"/>
    </x:row>
    <x:row r="233">
      <x:c r="A233" t="str">
        <x:v>True</x:v>
      </x:c>
      <x:c r="B233" t="str">
        <x:v>16776975</x:v>
      </x:c>
      <x:c r="C233" t="str">
        <x:v>J16</x:v>
      </x:c>
      <x:c r="D233" t="str">
        <x:v>Sample 232</x:v>
      </x:c>
      <x:c r="E233" t="str">
        <x:v>Negative</x:v>
      </x:c>
      <x:c r="F233" t="n">
        <x:v>1</x:v>
      </x:c>
      <x:c r="G233" t="n">
        <x:v>1</x:v>
      </x:c>
      <x:c r="H233" t="str"/>
    </x:row>
    <x:row r="234">
      <x:c r="A234" t="str">
        <x:v>True</x:v>
      </x:c>
      <x:c r="B234" t="str">
        <x:v>16776975</x:v>
      </x:c>
      <x:c r="C234" t="str">
        <x:v>J17</x:v>
      </x:c>
      <x:c r="D234" t="str">
        <x:v>Sample 233</x:v>
      </x:c>
      <x:c r="E234" t="str">
        <x:v>Negative</x:v>
      </x:c>
      <x:c r="F234" t="n">
        <x:v>1</x:v>
      </x:c>
      <x:c r="G234" t="n">
        <x:v>1</x:v>
      </x:c>
      <x:c r="H234" t="str"/>
    </x:row>
    <x:row r="235">
      <x:c r="A235" t="str">
        <x:v>True</x:v>
      </x:c>
      <x:c r="B235" t="str">
        <x:v>16776975</x:v>
      </x:c>
      <x:c r="C235" t="str">
        <x:v>J18</x:v>
      </x:c>
      <x:c r="D235" t="str">
        <x:v>Sample 234</x:v>
      </x:c>
      <x:c r="E235" t="str">
        <x:v>Negative</x:v>
      </x:c>
      <x:c r="F235" t="n">
        <x:v>1</x:v>
      </x:c>
      <x:c r="G235" t="n">
        <x:v>1</x:v>
      </x:c>
      <x:c r="H235" t="str"/>
    </x:row>
    <x:row r="236">
      <x:c r="A236" t="str">
        <x:v>True</x:v>
      </x:c>
      <x:c r="B236" t="str">
        <x:v>16776975</x:v>
      </x:c>
      <x:c r="C236" t="str">
        <x:v>J19</x:v>
      </x:c>
      <x:c r="D236" t="str">
        <x:v>Sample 235</x:v>
      </x:c>
      <x:c r="E236" t="str">
        <x:v>Negative</x:v>
      </x:c>
      <x:c r="F236" t="n">
        <x:v>1</x:v>
      </x:c>
      <x:c r="G236" t="n">
        <x:v>1</x:v>
      </x:c>
      <x:c r="H236" t="str"/>
    </x:row>
    <x:row r="237">
      <x:c r="A237" t="str">
        <x:v>True</x:v>
      </x:c>
      <x:c r="B237" t="str">
        <x:v>16776975</x:v>
      </x:c>
      <x:c r="C237" t="str">
        <x:v>J20</x:v>
      </x:c>
      <x:c r="D237" t="str">
        <x:v>Sample 236</x:v>
      </x:c>
      <x:c r="E237" t="str">
        <x:v>Negative</x:v>
      </x:c>
      <x:c r="F237" t="n">
        <x:v>1</x:v>
      </x:c>
      <x:c r="G237" t="n">
        <x:v>1</x:v>
      </x:c>
      <x:c r="H237" t="str"/>
    </x:row>
    <x:row r="238">
      <x:c r="A238" t="str">
        <x:v>True</x:v>
      </x:c>
      <x:c r="B238" t="str">
        <x:v>16776975</x:v>
      </x:c>
      <x:c r="C238" t="str">
        <x:v>J21</x:v>
      </x:c>
      <x:c r="D238" t="str">
        <x:v>Sample 237</x:v>
      </x:c>
      <x:c r="E238" t="str">
        <x:v>Negative</x:v>
      </x:c>
      <x:c r="F238" t="n">
        <x:v>1</x:v>
      </x:c>
      <x:c r="G238" t="n">
        <x:v>1</x:v>
      </x:c>
      <x:c r="H238" t="str"/>
    </x:row>
    <x:row r="239">
      <x:c r="A239" t="str">
        <x:v>True</x:v>
      </x:c>
      <x:c r="B239" t="str">
        <x:v>16776975</x:v>
      </x:c>
      <x:c r="C239" t="str">
        <x:v>J22</x:v>
      </x:c>
      <x:c r="D239" t="str">
        <x:v>Sample 238</x:v>
      </x:c>
      <x:c r="E239" t="str">
        <x:v>Negative</x:v>
      </x:c>
      <x:c r="F239" t="n">
        <x:v>1</x:v>
      </x:c>
      <x:c r="G239" t="n">
        <x:v>1</x:v>
      </x:c>
      <x:c r="H239" t="str"/>
    </x:row>
    <x:row r="240">
      <x:c r="A240" t="str">
        <x:v>True</x:v>
      </x:c>
      <x:c r="B240" t="str">
        <x:v>16776975</x:v>
      </x:c>
      <x:c r="C240" t="str">
        <x:v>J23</x:v>
      </x:c>
      <x:c r="D240" t="str">
        <x:v>Sample 239</x:v>
      </x:c>
      <x:c r="E240" t="str">
        <x:v>Negative</x:v>
      </x:c>
      <x:c r="F240" t="n">
        <x:v>1</x:v>
      </x:c>
      <x:c r="G240" t="n">
        <x:v>1</x:v>
      </x:c>
      <x:c r="H240" t="str"/>
    </x:row>
    <x:row r="241">
      <x:c r="A241" t="str">
        <x:v>True</x:v>
      </x:c>
      <x:c r="B241" t="str">
        <x:v>16776975</x:v>
      </x:c>
      <x:c r="C241" t="str">
        <x:v>J24</x:v>
      </x:c>
      <x:c r="D241" t="str">
        <x:v>Sample 240</x:v>
      </x:c>
      <x:c r="E241" t="str">
        <x:v>Negative</x:v>
      </x:c>
      <x:c r="F241" t="n">
        <x:v>1</x:v>
      </x:c>
      <x:c r="G241" t="n">
        <x:v>1</x:v>
      </x:c>
      <x:c r="H241" t="str"/>
    </x:row>
    <x:row r="242">
      <x:c r="A242" t="str">
        <x:v>True</x:v>
      </x:c>
      <x:c r="B242" t="str">
        <x:v>16744448</x:v>
      </x:c>
      <x:c r="C242" t="str">
        <x:v>K1</x:v>
      </x:c>
      <x:c r="D242" t="str">
        <x:v>Sample 241</x:v>
      </x:c>
      <x:c r="E242" t="str">
        <x:v>1</x:v>
      </x:c>
      <x:c r="F242" t="n">
        <x:v>0.9</x:v>
      </x:c>
      <x:c r="G242" t="n">
        <x:v>0.49</x:v>
      </x:c>
      <x:c r="H242" t="str"/>
    </x:row>
    <x:row r="243">
      <x:c r="A243" t="str">
        <x:v>True</x:v>
      </x:c>
      <x:c r="B243" t="str">
        <x:v>16744448</x:v>
      </x:c>
      <x:c r="C243" t="str">
        <x:v>K2</x:v>
      </x:c>
      <x:c r="D243" t="str">
        <x:v>Sample 242</x:v>
      </x:c>
      <x:c r="E243" t="str">
        <x:v>1</x:v>
      </x:c>
      <x:c r="F243" t="n">
        <x:v>0.9</x:v>
      </x:c>
      <x:c r="G243" t="n">
        <x:v>0.49</x:v>
      </x:c>
      <x:c r="H243" t="str"/>
    </x:row>
    <x:row r="244">
      <x:c r="A244" t="str">
        <x:v>True</x:v>
      </x:c>
      <x:c r="B244" t="str">
        <x:v>16744448</x:v>
      </x:c>
      <x:c r="C244" t="str">
        <x:v>K3</x:v>
      </x:c>
      <x:c r="D244" t="str">
        <x:v>Sample 243</x:v>
      </x:c>
      <x:c r="E244" t="str">
        <x:v>1</x:v>
      </x:c>
      <x:c r="F244" t="n">
        <x:v>0.89</x:v>
      </x:c>
      <x:c r="G244" t="n">
        <x:v>0.49</x:v>
      </x:c>
      <x:c r="H244" t="str"/>
    </x:row>
    <x:row r="245">
      <x:c r="A245" t="str">
        <x:v>True</x:v>
      </x:c>
      <x:c r="B245" t="str">
        <x:v>16744448</x:v>
      </x:c>
      <x:c r="C245" t="str">
        <x:v>K4</x:v>
      </x:c>
      <x:c r="D245" t="str">
        <x:v>Sample 244</x:v>
      </x:c>
      <x:c r="E245" t="str">
        <x:v>1</x:v>
      </x:c>
      <x:c r="F245" t="n">
        <x:v>0.88</x:v>
      </x:c>
      <x:c r="G245" t="n">
        <x:v>0.49</x:v>
      </x:c>
      <x:c r="H245" t="str"/>
    </x:row>
    <x:row r="246">
      <x:c r="A246" t="str">
        <x:v>True</x:v>
      </x:c>
      <x:c r="B246" t="str">
        <x:v>16744448</x:v>
      </x:c>
      <x:c r="C246" t="str">
        <x:v>K5</x:v>
      </x:c>
      <x:c r="D246" t="str">
        <x:v>Sample 245</x:v>
      </x:c>
      <x:c r="E246" t="str">
        <x:v>1</x:v>
      </x:c>
      <x:c r="F246" t="n">
        <x:v>0.99</x:v>
      </x:c>
      <x:c r="G246" t="n">
        <x:v>0.18</x:v>
      </x:c>
      <x:c r="H246" t="str"/>
    </x:row>
    <x:row r="247">
      <x:c r="A247" t="str">
        <x:v>True</x:v>
      </x:c>
      <x:c r="B247" t="str">
        <x:v>16744448</x:v>
      </x:c>
      <x:c r="C247" t="str">
        <x:v>K6</x:v>
      </x:c>
      <x:c r="D247" t="str">
        <x:v>Sample 246</x:v>
      </x:c>
      <x:c r="E247" t="str">
        <x:v>1</x:v>
      </x:c>
      <x:c r="F247" t="n">
        <x:v>0.98</x:v>
      </x:c>
      <x:c r="G247" t="n">
        <x:v>0.18</x:v>
      </x:c>
      <x:c r="H247" t="str"/>
    </x:row>
    <x:row r="248">
      <x:c r="A248" t="str">
        <x:v>True</x:v>
      </x:c>
      <x:c r="B248" t="str">
        <x:v>16744448</x:v>
      </x:c>
      <x:c r="C248" t="str">
        <x:v>K7</x:v>
      </x:c>
      <x:c r="D248" t="str">
        <x:v>Sample 247</x:v>
      </x:c>
      <x:c r="E248" t="str">
        <x:v>1</x:v>
      </x:c>
      <x:c r="F248" t="n">
        <x:v>0.98</x:v>
      </x:c>
      <x:c r="G248" t="n">
        <x:v>0.17</x:v>
      </x:c>
      <x:c r="H248" t="str"/>
    </x:row>
    <x:row r="249">
      <x:c r="A249" t="str">
        <x:v>True</x:v>
      </x:c>
      <x:c r="B249" t="str">
        <x:v>16744448</x:v>
      </x:c>
      <x:c r="C249" t="str">
        <x:v>K8</x:v>
      </x:c>
      <x:c r="D249" t="str">
        <x:v>Sample 248</x:v>
      </x:c>
      <x:c r="E249" t="str">
        <x:v>1</x:v>
      </x:c>
      <x:c r="F249" t="n">
        <x:v>0.99</x:v>
      </x:c>
      <x:c r="G249" t="n">
        <x:v>0.19</x:v>
      </x:c>
      <x:c r="H249" t="str"/>
    </x:row>
    <x:row r="250">
      <x:c r="A250" t="str">
        <x:v>True</x:v>
      </x:c>
      <x:c r="B250" t="str">
        <x:v>255</x:v>
      </x:c>
      <x:c r="C250" t="str">
        <x:v>K9</x:v>
      </x:c>
      <x:c r="D250" t="str">
        <x:v>Sample 249</x:v>
      </x:c>
      <x:c r="E250" t="str">
        <x:v>2</x:v>
      </x:c>
      <x:c r="F250" t="n">
        <x:v>0.94</x:v>
      </x:c>
      <x:c r="G250" t="n">
        <x:v>0.56</x:v>
      </x:c>
      <x:c r="H250" t="str"/>
    </x:row>
    <x:row r="251">
      <x:c r="A251" t="str">
        <x:v>True</x:v>
      </x:c>
      <x:c r="B251" t="str">
        <x:v>255</x:v>
      </x:c>
      <x:c r="C251" t="str">
        <x:v>K10</x:v>
      </x:c>
      <x:c r="D251" t="str">
        <x:v>Sample 250</x:v>
      </x:c>
      <x:c r="E251" t="str">
        <x:v>2</x:v>
      </x:c>
      <x:c r="F251" t="n">
        <x:v>0.97</x:v>
      </x:c>
      <x:c r="G251" t="n">
        <x:v>0.46</x:v>
      </x:c>
      <x:c r="H251" t="str"/>
    </x:row>
    <x:row r="252">
      <x:c r="A252" t="str">
        <x:v>True</x:v>
      </x:c>
      <x:c r="B252" t="str">
        <x:v>255</x:v>
      </x:c>
      <x:c r="C252" t="str">
        <x:v>K11</x:v>
      </x:c>
      <x:c r="D252" t="str">
        <x:v>Sample 251</x:v>
      </x:c>
      <x:c r="E252" t="str">
        <x:v>2</x:v>
      </x:c>
      <x:c r="F252" t="n">
        <x:v>0.96</x:v>
      </x:c>
      <x:c r="G252" t="n">
        <x:v>0.52</x:v>
      </x:c>
      <x:c r="H252" t="str"/>
    </x:row>
    <x:row r="253">
      <x:c r="A253" t="str">
        <x:v>True</x:v>
      </x:c>
      <x:c r="B253" t="str">
        <x:v>255</x:v>
      </x:c>
      <x:c r="C253" t="str">
        <x:v>K12</x:v>
      </x:c>
      <x:c r="D253" t="str">
        <x:v>Sample 252</x:v>
      </x:c>
      <x:c r="E253" t="str">
        <x:v>2</x:v>
      </x:c>
      <x:c r="F253" t="n">
        <x:v>0.97</x:v>
      </x:c>
      <x:c r="G253" t="n">
        <x:v>0.51</x:v>
      </x:c>
      <x:c r="H253" t="str"/>
    </x:row>
    <x:row r="254">
      <x:c r="A254" t="str">
        <x:v>True</x:v>
      </x:c>
      <x:c r="B254" t="str">
        <x:v>16711935</x:v>
      </x:c>
      <x:c r="C254" t="str">
        <x:v>K13</x:v>
      </x:c>
      <x:c r="D254" t="str">
        <x:v>Sample 253</x:v>
      </x:c>
      <x:c r="E254" t="str">
        <x:v>4</x:v>
      </x:c>
      <x:c r="F254" t="n">
        <x:v>0.95</x:v>
      </x:c>
      <x:c r="G254" t="n">
        <x:v>0.5</x:v>
      </x:c>
      <x:c r="H254" t="str"/>
    </x:row>
    <x:row r="255">
      <x:c r="A255" t="str">
        <x:v>True</x:v>
      </x:c>
      <x:c r="B255" t="str">
        <x:v>16744448</x:v>
      </x:c>
      <x:c r="C255" t="str">
        <x:v>K14</x:v>
      </x:c>
      <x:c r="D255" t="str">
        <x:v>Sample 254</x:v>
      </x:c>
      <x:c r="E255" t="str">
        <x:v>1</x:v>
      </x:c>
      <x:c r="F255" t="n">
        <x:v>0.99</x:v>
      </x:c>
      <x:c r="G255" t="n">
        <x:v>0.41</x:v>
      </x:c>
      <x:c r="H255" t="str"/>
    </x:row>
    <x:row r="256">
      <x:c r="A256" t="str">
        <x:v>True</x:v>
      </x:c>
      <x:c r="B256" t="str">
        <x:v>16711935</x:v>
      </x:c>
      <x:c r="C256" t="str">
        <x:v>K15</x:v>
      </x:c>
      <x:c r="D256" t="str">
        <x:v>Sample 255</x:v>
      </x:c>
      <x:c r="E256" t="str">
        <x:v>4</x:v>
      </x:c>
      <x:c r="F256" t="n">
        <x:v>0.98</x:v>
      </x:c>
      <x:c r="G256" t="n">
        <x:v>0.47</x:v>
      </x:c>
      <x:c r="H256" t="str"/>
    </x:row>
    <x:row r="257">
      <x:c r="A257" t="str">
        <x:v>True</x:v>
      </x:c>
      <x:c r="B257" t="str">
        <x:v>16711935</x:v>
      </x:c>
      <x:c r="C257" t="str">
        <x:v>K16</x:v>
      </x:c>
      <x:c r="D257" t="str">
        <x:v>Sample 256</x:v>
      </x:c>
      <x:c r="E257" t="str">
        <x:v>4</x:v>
      </x:c>
      <x:c r="F257" t="n">
        <x:v>0.99</x:v>
      </x:c>
      <x:c r="G257" t="n">
        <x:v>0.46</x:v>
      </x:c>
      <x:c r="H257" t="str"/>
    </x:row>
    <x:row r="258">
      <x:c r="A258" t="str">
        <x:v>True</x:v>
      </x:c>
      <x:c r="B258" t="str">
        <x:v>255</x:v>
      </x:c>
      <x:c r="C258" t="str">
        <x:v>K17</x:v>
      </x:c>
      <x:c r="D258" t="str">
        <x:v>Sample 257</x:v>
      </x:c>
      <x:c r="E258" t="str">
        <x:v>2</x:v>
      </x:c>
      <x:c r="F258" t="n">
        <x:v>0.94</x:v>
      </x:c>
      <x:c r="G258" t="n">
        <x:v>0.59</x:v>
      </x:c>
      <x:c r="H258" t="str"/>
    </x:row>
    <x:row r="259">
      <x:c r="A259" t="str">
        <x:v>True</x:v>
      </x:c>
      <x:c r="B259" t="str">
        <x:v>255</x:v>
      </x:c>
      <x:c r="C259" t="str">
        <x:v>K18</x:v>
      </x:c>
      <x:c r="D259" t="str">
        <x:v>Sample 258</x:v>
      </x:c>
      <x:c r="E259" t="str">
        <x:v>2</x:v>
      </x:c>
      <x:c r="F259" t="n">
        <x:v>0.97</x:v>
      </x:c>
      <x:c r="G259" t="n">
        <x:v>0.71</x:v>
      </x:c>
      <x:c r="H259" t="str"/>
    </x:row>
    <x:row r="260">
      <x:c r="A260" t="str">
        <x:v>True</x:v>
      </x:c>
      <x:c r="B260" t="str">
        <x:v>255</x:v>
      </x:c>
      <x:c r="C260" t="str">
        <x:v>K19</x:v>
      </x:c>
      <x:c r="D260" t="str">
        <x:v>Sample 259</x:v>
      </x:c>
      <x:c r="E260" t="str">
        <x:v>2</x:v>
      </x:c>
      <x:c r="F260" t="n">
        <x:v>0.96</x:v>
      </x:c>
      <x:c r="G260" t="n">
        <x:v>0.71</x:v>
      </x:c>
      <x:c r="H260" t="str"/>
    </x:row>
    <x:row r="261">
      <x:c r="A261" t="str">
        <x:v>True</x:v>
      </x:c>
      <x:c r="B261" t="str">
        <x:v>255</x:v>
      </x:c>
      <x:c r="C261" t="str">
        <x:v>K20</x:v>
      </x:c>
      <x:c r="D261" t="str">
        <x:v>Sample 260</x:v>
      </x:c>
      <x:c r="E261" t="str">
        <x:v>2</x:v>
      </x:c>
      <x:c r="F261" t="n">
        <x:v>0.96</x:v>
      </x:c>
      <x:c r="G261" t="n">
        <x:v>0.67</x:v>
      </x:c>
      <x:c r="H261" t="str"/>
    </x:row>
    <x:row r="262">
      <x:c r="A262" t="str">
        <x:v>True</x:v>
      </x:c>
      <x:c r="B262" t="str">
        <x:v>3200768</x:v>
      </x:c>
      <x:c r="C262" t="str">
        <x:v>K21</x:v>
      </x:c>
      <x:c r="D262" t="str">
        <x:v>Sample 261</x:v>
      </x:c>
      <x:c r="E262" t="str">
        <x:v>3</x:v>
      </x:c>
      <x:c r="F262" t="n">
        <x:v>0.99</x:v>
      </x:c>
      <x:c r="G262" t="n">
        <x:v>0.99</x:v>
      </x:c>
      <x:c r="H262" t="str"/>
    </x:row>
    <x:row r="263">
      <x:c r="A263" t="str">
        <x:v>True</x:v>
      </x:c>
      <x:c r="B263" t="str">
        <x:v>3200768</x:v>
      </x:c>
      <x:c r="C263" t="str">
        <x:v>K22</x:v>
      </x:c>
      <x:c r="D263" t="str">
        <x:v>Sample 262</x:v>
      </x:c>
      <x:c r="E263" t="str">
        <x:v>3</x:v>
      </x:c>
      <x:c r="F263" t="n">
        <x:v>1</x:v>
      </x:c>
      <x:c r="G263" t="n">
        <x:v>0.99</x:v>
      </x:c>
      <x:c r="H263" t="str"/>
    </x:row>
    <x:row r="264">
      <x:c r="A264" t="str">
        <x:v>True</x:v>
      </x:c>
      <x:c r="B264" t="str">
        <x:v>3200768</x:v>
      </x:c>
      <x:c r="C264" t="str">
        <x:v>K23</x:v>
      </x:c>
      <x:c r="D264" t="str">
        <x:v>Sample 263</x:v>
      </x:c>
      <x:c r="E264" t="str">
        <x:v>3</x:v>
      </x:c>
      <x:c r="F264" t="n">
        <x:v>0.99</x:v>
      </x:c>
      <x:c r="G264" t="n">
        <x:v>0.98</x:v>
      </x:c>
      <x:c r="H264" t="str"/>
    </x:row>
    <x:row r="265">
      <x:c r="A265" t="str">
        <x:v>True</x:v>
      </x:c>
      <x:c r="B265" t="str">
        <x:v>3200768</x:v>
      </x:c>
      <x:c r="C265" t="str">
        <x:v>K24</x:v>
      </x:c>
      <x:c r="D265" t="str">
        <x:v>Sample 264</x:v>
      </x:c>
      <x:c r="E265" t="str">
        <x:v>3</x:v>
      </x:c>
      <x:c r="F265" t="n">
        <x:v>0.99</x:v>
      </x:c>
      <x:c r="G265" t="n">
        <x:v>0.99</x:v>
      </x:c>
      <x:c r="H265" t="str"/>
    </x:row>
    <x:row r="266">
      <x:c r="A266" t="str">
        <x:v>True</x:v>
      </x:c>
      <x:c r="B266" t="str">
        <x:v>16776975</x:v>
      </x:c>
      <x:c r="C266" t="str">
        <x:v>L1</x:v>
      </x:c>
      <x:c r="D266" t="str">
        <x:v>Sample 265</x:v>
      </x:c>
      <x:c r="E266" t="str">
        <x:v>Negative</x:v>
      </x:c>
      <x:c r="F266" t="n">
        <x:v>1</x:v>
      </x:c>
      <x:c r="G266" t="n">
        <x:v>1</x:v>
      </x:c>
      <x:c r="H266" t="str"/>
    </x:row>
    <x:row r="267">
      <x:c r="A267" t="str">
        <x:v>True</x:v>
      </x:c>
      <x:c r="B267" t="str">
        <x:v>16776975</x:v>
      </x:c>
      <x:c r="C267" t="str">
        <x:v>L2</x:v>
      </x:c>
      <x:c r="D267" t="str">
        <x:v>Sample 266</x:v>
      </x:c>
      <x:c r="E267" t="str">
        <x:v>Negative</x:v>
      </x:c>
      <x:c r="F267" t="n">
        <x:v>1</x:v>
      </x:c>
      <x:c r="G267" t="n">
        <x:v>1</x:v>
      </x:c>
      <x:c r="H267" t="str"/>
    </x:row>
    <x:row r="268">
      <x:c r="A268" t="str">
        <x:v>True</x:v>
      </x:c>
      <x:c r="B268" t="str">
        <x:v>16776975</x:v>
      </x:c>
      <x:c r="C268" t="str">
        <x:v>L3</x:v>
      </x:c>
      <x:c r="D268" t="str">
        <x:v>Sample 267</x:v>
      </x:c>
      <x:c r="E268" t="str">
        <x:v>Negative</x:v>
      </x:c>
      <x:c r="F268" t="n">
        <x:v>1</x:v>
      </x:c>
      <x:c r="G268" t="n">
        <x:v>1</x:v>
      </x:c>
      <x:c r="H268" t="str"/>
    </x:row>
    <x:row r="269">
      <x:c r="A269" t="str">
        <x:v>True</x:v>
      </x:c>
      <x:c r="B269" t="str">
        <x:v>16776975</x:v>
      </x:c>
      <x:c r="C269" t="str">
        <x:v>L4</x:v>
      </x:c>
      <x:c r="D269" t="str">
        <x:v>Sample 268</x:v>
      </x:c>
      <x:c r="E269" t="str">
        <x:v>Negative</x:v>
      </x:c>
      <x:c r="F269" t="n">
        <x:v>1</x:v>
      </x:c>
      <x:c r="G269" t="n">
        <x:v>1</x:v>
      </x:c>
      <x:c r="H269" t="str"/>
    </x:row>
    <x:row r="270">
      <x:c r="A270" t="str">
        <x:v>True</x:v>
      </x:c>
      <x:c r="B270" t="str">
        <x:v>16776975</x:v>
      </x:c>
      <x:c r="C270" t="str">
        <x:v>L5</x:v>
      </x:c>
      <x:c r="D270" t="str">
        <x:v>Sample 269</x:v>
      </x:c>
      <x:c r="E270" t="str">
        <x:v>Negative</x:v>
      </x:c>
      <x:c r="F270" t="n">
        <x:v>1</x:v>
      </x:c>
      <x:c r="G270" t="n">
        <x:v>1</x:v>
      </x:c>
      <x:c r="H270" t="str"/>
    </x:row>
    <x:row r="271">
      <x:c r="A271" t="str">
        <x:v>True</x:v>
      </x:c>
      <x:c r="B271" t="str">
        <x:v>16776975</x:v>
      </x:c>
      <x:c r="C271" t="str">
        <x:v>L6</x:v>
      </x:c>
      <x:c r="D271" t="str">
        <x:v>Sample 270</x:v>
      </x:c>
      <x:c r="E271" t="str">
        <x:v>Negative</x:v>
      </x:c>
      <x:c r="F271" t="n">
        <x:v>1</x:v>
      </x:c>
      <x:c r="G271" t="n">
        <x:v>1</x:v>
      </x:c>
      <x:c r="H271" t="str"/>
    </x:row>
    <x:row r="272">
      <x:c r="A272" t="str">
        <x:v>True</x:v>
      </x:c>
      <x:c r="B272" t="str">
        <x:v>16776975</x:v>
      </x:c>
      <x:c r="C272" t="str">
        <x:v>L7</x:v>
      </x:c>
      <x:c r="D272" t="str">
        <x:v>Sample 271</x:v>
      </x:c>
      <x:c r="E272" t="str">
        <x:v>Negative</x:v>
      </x:c>
      <x:c r="F272" t="n">
        <x:v>1</x:v>
      </x:c>
      <x:c r="G272" t="n">
        <x:v>1</x:v>
      </x:c>
      <x:c r="H272" t="str"/>
    </x:row>
    <x:row r="273">
      <x:c r="A273" t="str">
        <x:v>True</x:v>
      </x:c>
      <x:c r="B273" t="str">
        <x:v>16776975</x:v>
      </x:c>
      <x:c r="C273" t="str">
        <x:v>L8</x:v>
      </x:c>
      <x:c r="D273" t="str">
        <x:v>Sample 272</x:v>
      </x:c>
      <x:c r="E273" t="str">
        <x:v>Negative</x:v>
      </x:c>
      <x:c r="F273" t="n">
        <x:v>1</x:v>
      </x:c>
      <x:c r="G273" t="n">
        <x:v>1</x:v>
      </x:c>
      <x:c r="H273" t="str"/>
    </x:row>
    <x:row r="274">
      <x:c r="A274" t="str">
        <x:v>True</x:v>
      </x:c>
      <x:c r="B274" t="str">
        <x:v>16776975</x:v>
      </x:c>
      <x:c r="C274" t="str">
        <x:v>L9</x:v>
      </x:c>
      <x:c r="D274" t="str">
        <x:v>Sample 273</x:v>
      </x:c>
      <x:c r="E274" t="str">
        <x:v>Negative</x:v>
      </x:c>
      <x:c r="F274" t="n">
        <x:v>1</x:v>
      </x:c>
      <x:c r="G274" t="n">
        <x:v>1</x:v>
      </x:c>
      <x:c r="H274" t="str"/>
    </x:row>
    <x:row r="275">
      <x:c r="A275" t="str">
        <x:v>True</x:v>
      </x:c>
      <x:c r="B275" t="str">
        <x:v>16776975</x:v>
      </x:c>
      <x:c r="C275" t="str">
        <x:v>L10</x:v>
      </x:c>
      <x:c r="D275" t="str">
        <x:v>Sample 274</x:v>
      </x:c>
      <x:c r="E275" t="str">
        <x:v>Negative</x:v>
      </x:c>
      <x:c r="F275" t="n">
        <x:v>1</x:v>
      </x:c>
      <x:c r="G275" t="n">
        <x:v>1</x:v>
      </x:c>
      <x:c r="H275" t="str"/>
    </x:row>
    <x:row r="276">
      <x:c r="A276" t="str">
        <x:v>True</x:v>
      </x:c>
      <x:c r="B276" t="str">
        <x:v>16776975</x:v>
      </x:c>
      <x:c r="C276" t="str">
        <x:v>L11</x:v>
      </x:c>
      <x:c r="D276" t="str">
        <x:v>Sample 275</x:v>
      </x:c>
      <x:c r="E276" t="str">
        <x:v>Negative</x:v>
      </x:c>
      <x:c r="F276" t="n">
        <x:v>1</x:v>
      </x:c>
      <x:c r="G276" t="n">
        <x:v>1</x:v>
      </x:c>
      <x:c r="H276" t="str"/>
    </x:row>
    <x:row r="277">
      <x:c r="A277" t="str">
        <x:v>True</x:v>
      </x:c>
      <x:c r="B277" t="str">
        <x:v>16776975</x:v>
      </x:c>
      <x:c r="C277" t="str">
        <x:v>L12</x:v>
      </x:c>
      <x:c r="D277" t="str">
        <x:v>Sample 276</x:v>
      </x:c>
      <x:c r="E277" t="str">
        <x:v>Negative</x:v>
      </x:c>
      <x:c r="F277" t="n">
        <x:v>1</x:v>
      </x:c>
      <x:c r="G277" t="n">
        <x:v>1</x:v>
      </x:c>
      <x:c r="H277" t="str"/>
    </x:row>
    <x:row r="278">
      <x:c r="A278" t="str">
        <x:v>True</x:v>
      </x:c>
      <x:c r="B278" t="str">
        <x:v>16776975</x:v>
      </x:c>
      <x:c r="C278" t="str">
        <x:v>L13</x:v>
      </x:c>
      <x:c r="D278" t="str">
        <x:v>Sample 277</x:v>
      </x:c>
      <x:c r="E278" t="str">
        <x:v>Negative</x:v>
      </x:c>
      <x:c r="F278" t="n">
        <x:v>1</x:v>
      </x:c>
      <x:c r="G278" t="n">
        <x:v>1</x:v>
      </x:c>
      <x:c r="H278" t="str"/>
    </x:row>
    <x:row r="279">
      <x:c r="A279" t="str">
        <x:v>True</x:v>
      </x:c>
      <x:c r="B279" t="str">
        <x:v>16776975</x:v>
      </x:c>
      <x:c r="C279" t="str">
        <x:v>L14</x:v>
      </x:c>
      <x:c r="D279" t="str">
        <x:v>Sample 278</x:v>
      </x:c>
      <x:c r="E279" t="str">
        <x:v>Negative</x:v>
      </x:c>
      <x:c r="F279" t="n">
        <x:v>1</x:v>
      </x:c>
      <x:c r="G279" t="n">
        <x:v>1</x:v>
      </x:c>
      <x:c r="H279" t="str"/>
    </x:row>
    <x:row r="280">
      <x:c r="A280" t="str">
        <x:v>True</x:v>
      </x:c>
      <x:c r="B280" t="str">
        <x:v>16776975</x:v>
      </x:c>
      <x:c r="C280" t="str">
        <x:v>L15</x:v>
      </x:c>
      <x:c r="D280" t="str">
        <x:v>Sample 279</x:v>
      </x:c>
      <x:c r="E280" t="str">
        <x:v>Negative</x:v>
      </x:c>
      <x:c r="F280" t="n">
        <x:v>1</x:v>
      </x:c>
      <x:c r="G280" t="n">
        <x:v>1</x:v>
      </x:c>
      <x:c r="H280" t="str"/>
    </x:row>
    <x:row r="281">
      <x:c r="A281" t="str">
        <x:v>True</x:v>
      </x:c>
      <x:c r="B281" t="str">
        <x:v>16776975</x:v>
      </x:c>
      <x:c r="C281" t="str">
        <x:v>L16</x:v>
      </x:c>
      <x:c r="D281" t="str">
        <x:v>Sample 280</x:v>
      </x:c>
      <x:c r="E281" t="str">
        <x:v>Negative</x:v>
      </x:c>
      <x:c r="F281" t="n">
        <x:v>1</x:v>
      </x:c>
      <x:c r="G281" t="n">
        <x:v>1</x:v>
      </x:c>
      <x:c r="H281" t="str"/>
    </x:row>
    <x:row r="282">
      <x:c r="A282" t="str">
        <x:v>True</x:v>
      </x:c>
      <x:c r="B282" t="str">
        <x:v>16776975</x:v>
      </x:c>
      <x:c r="C282" t="str">
        <x:v>L17</x:v>
      </x:c>
      <x:c r="D282" t="str">
        <x:v>Sample 281</x:v>
      </x:c>
      <x:c r="E282" t="str">
        <x:v>Negative</x:v>
      </x:c>
      <x:c r="F282" t="n">
        <x:v>1</x:v>
      </x:c>
      <x:c r="G282" t="n">
        <x:v>1</x:v>
      </x:c>
      <x:c r="H282" t="str"/>
    </x:row>
    <x:row r="283">
      <x:c r="A283" t="str">
        <x:v>True</x:v>
      </x:c>
      <x:c r="B283" t="str">
        <x:v>16776975</x:v>
      </x:c>
      <x:c r="C283" t="str">
        <x:v>L18</x:v>
      </x:c>
      <x:c r="D283" t="str">
        <x:v>Sample 282</x:v>
      </x:c>
      <x:c r="E283" t="str">
        <x:v>Negative</x:v>
      </x:c>
      <x:c r="F283" t="n">
        <x:v>1</x:v>
      </x:c>
      <x:c r="G283" t="n">
        <x:v>1</x:v>
      </x:c>
      <x:c r="H283" t="str"/>
    </x:row>
    <x:row r="284">
      <x:c r="A284" t="str">
        <x:v>True</x:v>
      </x:c>
      <x:c r="B284" t="str">
        <x:v>16776975</x:v>
      </x:c>
      <x:c r="C284" t="str">
        <x:v>L19</x:v>
      </x:c>
      <x:c r="D284" t="str">
        <x:v>Sample 283</x:v>
      </x:c>
      <x:c r="E284" t="str">
        <x:v>Negative</x:v>
      </x:c>
      <x:c r="F284" t="n">
        <x:v>1</x:v>
      </x:c>
      <x:c r="G284" t="n">
        <x:v>1</x:v>
      </x:c>
      <x:c r="H284" t="str"/>
    </x:row>
    <x:row r="285">
      <x:c r="A285" t="str">
        <x:v>True</x:v>
      </x:c>
      <x:c r="B285" t="str">
        <x:v>16776975</x:v>
      </x:c>
      <x:c r="C285" t="str">
        <x:v>L20</x:v>
      </x:c>
      <x:c r="D285" t="str">
        <x:v>Sample 284</x:v>
      </x:c>
      <x:c r="E285" t="str">
        <x:v>Negative</x:v>
      </x:c>
      <x:c r="F285" t="n">
        <x:v>1</x:v>
      </x:c>
      <x:c r="G285" t="n">
        <x:v>1</x:v>
      </x:c>
      <x:c r="H285" t="str"/>
    </x:row>
    <x:row r="286">
      <x:c r="A286" t="str">
        <x:v>True</x:v>
      </x:c>
      <x:c r="B286" t="str">
        <x:v>16776975</x:v>
      </x:c>
      <x:c r="C286" t="str">
        <x:v>L21</x:v>
      </x:c>
      <x:c r="D286" t="str">
        <x:v>Sample 285</x:v>
      </x:c>
      <x:c r="E286" t="str">
        <x:v>Negative</x:v>
      </x:c>
      <x:c r="F286" t="n">
        <x:v>1</x:v>
      </x:c>
      <x:c r="G286" t="n">
        <x:v>1</x:v>
      </x:c>
      <x:c r="H286" t="str"/>
    </x:row>
    <x:row r="287">
      <x:c r="A287" t="str">
        <x:v>True</x:v>
      </x:c>
      <x:c r="B287" t="str">
        <x:v>16776975</x:v>
      </x:c>
      <x:c r="C287" t="str">
        <x:v>L22</x:v>
      </x:c>
      <x:c r="D287" t="str">
        <x:v>Sample 286</x:v>
      </x:c>
      <x:c r="E287" t="str">
        <x:v>Negative</x:v>
      </x:c>
      <x:c r="F287" t="n">
        <x:v>1</x:v>
      </x:c>
      <x:c r="G287" t="n">
        <x:v>1</x:v>
      </x:c>
      <x:c r="H287" t="str"/>
    </x:row>
    <x:row r="288">
      <x:c r="A288" t="str">
        <x:v>True</x:v>
      </x:c>
      <x:c r="B288" t="str">
        <x:v>16776975</x:v>
      </x:c>
      <x:c r="C288" t="str">
        <x:v>L23</x:v>
      </x:c>
      <x:c r="D288" t="str">
        <x:v>Sample 287</x:v>
      </x:c>
      <x:c r="E288" t="str">
        <x:v>Negative</x:v>
      </x:c>
      <x:c r="F288" t="n">
        <x:v>1</x:v>
      </x:c>
      <x:c r="G288" t="n">
        <x:v>1</x:v>
      </x:c>
      <x:c r="H288" t="str"/>
    </x:row>
    <x:row r="289">
      <x:c r="A289" t="str">
        <x:v>True</x:v>
      </x:c>
      <x:c r="B289" t="str">
        <x:v>16776975</x:v>
      </x:c>
      <x:c r="C289" t="str">
        <x:v>L24</x:v>
      </x:c>
      <x:c r="D289" t="str">
        <x:v>Sample 288</x:v>
      </x:c>
      <x:c r="E289" t="str">
        <x:v>Negative</x:v>
      </x:c>
      <x:c r="F289" t="n">
        <x:v>1</x:v>
      </x:c>
      <x:c r="G289" t="n">
        <x:v>1</x:v>
      </x:c>
      <x:c r="H289" t="str"/>
    </x:row>
    <x:row r="290">
      <x:c r="A290" t="str">
        <x:v>True</x:v>
      </x:c>
      <x:c r="B290" t="str">
        <x:v>16744448</x:v>
      </x:c>
      <x:c r="C290" t="str">
        <x:v>M1</x:v>
      </x:c>
      <x:c r="D290" t="str">
        <x:v>Sample 289</x:v>
      </x:c>
      <x:c r="E290" t="str">
        <x:v>1</x:v>
      </x:c>
      <x:c r="F290" t="n">
        <x:v>0.88</x:v>
      </x:c>
      <x:c r="G290" t="n">
        <x:v>0.49</x:v>
      </x:c>
      <x:c r="H290" t="str"/>
    </x:row>
    <x:row r="291">
      <x:c r="A291" t="str">
        <x:v>True</x:v>
      </x:c>
      <x:c r="B291" t="str">
        <x:v>16744448</x:v>
      </x:c>
      <x:c r="C291" t="str">
        <x:v>M2</x:v>
      </x:c>
      <x:c r="D291" t="str">
        <x:v>Sample 290</x:v>
      </x:c>
      <x:c r="E291" t="str">
        <x:v>1</x:v>
      </x:c>
      <x:c r="F291" t="n">
        <x:v>0.9</x:v>
      </x:c>
      <x:c r="G291" t="n">
        <x:v>0.49</x:v>
      </x:c>
      <x:c r="H291" t="str"/>
    </x:row>
    <x:row r="292">
      <x:c r="A292" t="str">
        <x:v>True</x:v>
      </x:c>
      <x:c r="B292" t="str">
        <x:v>16744448</x:v>
      </x:c>
      <x:c r="C292" t="str">
        <x:v>M3</x:v>
      </x:c>
      <x:c r="D292" t="str">
        <x:v>Sample 291</x:v>
      </x:c>
      <x:c r="E292" t="str">
        <x:v>1</x:v>
      </x:c>
      <x:c r="F292" t="n">
        <x:v>0.88</x:v>
      </x:c>
      <x:c r="G292" t="n">
        <x:v>0.49</x:v>
      </x:c>
      <x:c r="H292" t="str"/>
    </x:row>
    <x:row r="293">
      <x:c r="A293" t="str">
        <x:v>True</x:v>
      </x:c>
      <x:c r="B293" t="str">
        <x:v>16744448</x:v>
      </x:c>
      <x:c r="C293" t="str">
        <x:v>M4</x:v>
      </x:c>
      <x:c r="D293" t="str">
        <x:v>Sample 292</x:v>
      </x:c>
      <x:c r="E293" t="str">
        <x:v>1</x:v>
      </x:c>
      <x:c r="F293" t="n">
        <x:v>0.87</x:v>
      </x:c>
      <x:c r="G293" t="n">
        <x:v>0.49</x:v>
      </x:c>
      <x:c r="H293" t="str"/>
    </x:row>
    <x:row r="294">
      <x:c r="A294" t="str">
        <x:v>True</x:v>
      </x:c>
      <x:c r="B294" t="str">
        <x:v>16744448</x:v>
      </x:c>
      <x:c r="C294" t="str">
        <x:v>M5</x:v>
      </x:c>
      <x:c r="D294" t="str">
        <x:v>Sample 293</x:v>
      </x:c>
      <x:c r="E294" t="str">
        <x:v>1</x:v>
      </x:c>
      <x:c r="F294" t="n">
        <x:v>0.99</x:v>
      </x:c>
      <x:c r="G294" t="n">
        <x:v>0.19</x:v>
      </x:c>
      <x:c r="H294" t="str"/>
    </x:row>
    <x:row r="295">
      <x:c r="A295" t="str">
        <x:v>True</x:v>
      </x:c>
      <x:c r="B295" t="str">
        <x:v>16744448</x:v>
      </x:c>
      <x:c r="C295" t="str">
        <x:v>M6</x:v>
      </x:c>
      <x:c r="D295" t="str">
        <x:v>Sample 294</x:v>
      </x:c>
      <x:c r="E295" t="str">
        <x:v>1</x:v>
      </x:c>
      <x:c r="F295" t="n">
        <x:v>0.98</x:v>
      </x:c>
      <x:c r="G295" t="n">
        <x:v>0.18</x:v>
      </x:c>
      <x:c r="H295" t="str"/>
    </x:row>
    <x:row r="296">
      <x:c r="A296" t="str">
        <x:v>True</x:v>
      </x:c>
      <x:c r="B296" t="str">
        <x:v>16744448</x:v>
      </x:c>
      <x:c r="C296" t="str">
        <x:v>M7</x:v>
      </x:c>
      <x:c r="D296" t="str">
        <x:v>Sample 295</x:v>
      </x:c>
      <x:c r="E296" t="str">
        <x:v>1</x:v>
      </x:c>
      <x:c r="F296" t="n">
        <x:v>0.98</x:v>
      </x:c>
      <x:c r="G296" t="n">
        <x:v>0.18</x:v>
      </x:c>
      <x:c r="H296" t="str"/>
    </x:row>
    <x:row r="297">
      <x:c r="A297" t="str">
        <x:v>True</x:v>
      </x:c>
      <x:c r="B297" t="str">
        <x:v>16744448</x:v>
      </x:c>
      <x:c r="C297" t="str">
        <x:v>M8</x:v>
      </x:c>
      <x:c r="D297" t="str">
        <x:v>Sample 296</x:v>
      </x:c>
      <x:c r="E297" t="str">
        <x:v>1</x:v>
      </x:c>
      <x:c r="F297" t="n">
        <x:v>0.99</x:v>
      </x:c>
      <x:c r="G297" t="n">
        <x:v>0.2</x:v>
      </x:c>
      <x:c r="H297" t="str"/>
    </x:row>
    <x:row r="298">
      <x:c r="A298" t="str">
        <x:v>True</x:v>
      </x:c>
      <x:c r="B298" t="str">
        <x:v>255</x:v>
      </x:c>
      <x:c r="C298" t="str">
        <x:v>M9</x:v>
      </x:c>
      <x:c r="D298" t="str">
        <x:v>Sample 297</x:v>
      </x:c>
      <x:c r="E298" t="str">
        <x:v>2</x:v>
      </x:c>
      <x:c r="F298" t="n">
        <x:v>0.98</x:v>
      </x:c>
      <x:c r="G298" t="n">
        <x:v>0.45</x:v>
      </x:c>
      <x:c r="H298" t="str"/>
    </x:row>
    <x:row r="299">
      <x:c r="A299" t="str">
        <x:v>True</x:v>
      </x:c>
      <x:c r="B299" t="str">
        <x:v>255</x:v>
      </x:c>
      <x:c r="C299" t="str">
        <x:v>M10</x:v>
      </x:c>
      <x:c r="D299" t="str">
        <x:v>Sample 298</x:v>
      </x:c>
      <x:c r="E299" t="str">
        <x:v>2</x:v>
      </x:c>
      <x:c r="F299" t="n">
        <x:v>0.98</x:v>
      </x:c>
      <x:c r="G299" t="n">
        <x:v>0.42</x:v>
      </x:c>
      <x:c r="H299" t="str"/>
    </x:row>
    <x:row r="300">
      <x:c r="A300" t="str">
        <x:v>True</x:v>
      </x:c>
      <x:c r="B300" t="str">
        <x:v>255</x:v>
      </x:c>
      <x:c r="C300" t="str">
        <x:v>M11</x:v>
      </x:c>
      <x:c r="D300" t="str">
        <x:v>Sample 299</x:v>
      </x:c>
      <x:c r="E300" t="str">
        <x:v>2</x:v>
      </x:c>
      <x:c r="F300" t="n">
        <x:v>0.98</x:v>
      </x:c>
      <x:c r="G300" t="n">
        <x:v>0.43</x:v>
      </x:c>
      <x:c r="H300" t="str"/>
    </x:row>
    <x:row r="301">
      <x:c r="A301" t="str">
        <x:v>True</x:v>
      </x:c>
      <x:c r="B301" t="str">
        <x:v>255</x:v>
      </x:c>
      <x:c r="C301" t="str">
        <x:v>M12</x:v>
      </x:c>
      <x:c r="D301" t="str">
        <x:v>Sample 300</x:v>
      </x:c>
      <x:c r="E301" t="str">
        <x:v>2</x:v>
      </x:c>
      <x:c r="F301" t="n">
        <x:v>0.98</x:v>
      </x:c>
      <x:c r="G301" t="n">
        <x:v>0.44</x:v>
      </x:c>
      <x:c r="H301" t="str"/>
    </x:row>
    <x:row r="302">
      <x:c r="A302" t="str">
        <x:v>True</x:v>
      </x:c>
      <x:c r="B302" t="str">
        <x:v>16744448</x:v>
      </x:c>
      <x:c r="C302" t="str">
        <x:v>M13</x:v>
      </x:c>
      <x:c r="D302" t="str">
        <x:v>Sample 301</x:v>
      </x:c>
      <x:c r="E302" t="str">
        <x:v>1</x:v>
      </x:c>
      <x:c r="F302" t="n">
        <x:v>0.95</x:v>
      </x:c>
      <x:c r="G302" t="n">
        <x:v>0.2</x:v>
      </x:c>
      <x:c r="H302" t="str"/>
    </x:row>
    <x:row r="303">
      <x:c r="A303" t="str">
        <x:v>True</x:v>
      </x:c>
      <x:c r="B303" t="str">
        <x:v>16744448</x:v>
      </x:c>
      <x:c r="C303" t="str">
        <x:v>M14</x:v>
      </x:c>
      <x:c r="D303" t="str">
        <x:v>Sample 302</x:v>
      </x:c>
      <x:c r="E303" t="str">
        <x:v>1</x:v>
      </x:c>
      <x:c r="F303" t="n">
        <x:v>0.96</x:v>
      </x:c>
      <x:c r="G303" t="n">
        <x:v>0.21</x:v>
      </x:c>
      <x:c r="H303" t="str"/>
    </x:row>
    <x:row r="304">
      <x:c r="A304" t="str">
        <x:v>True</x:v>
      </x:c>
      <x:c r="B304" t="str">
        <x:v>16744448</x:v>
      </x:c>
      <x:c r="C304" t="str">
        <x:v>M15</x:v>
      </x:c>
      <x:c r="D304" t="str">
        <x:v>Sample 303</x:v>
      </x:c>
      <x:c r="E304" t="str">
        <x:v>1</x:v>
      </x:c>
      <x:c r="F304" t="n">
        <x:v>0.96</x:v>
      </x:c>
      <x:c r="G304" t="n">
        <x:v>0.25</x:v>
      </x:c>
      <x:c r="H304" t="str"/>
    </x:row>
    <x:row r="305">
      <x:c r="A305" t="str">
        <x:v>True</x:v>
      </x:c>
      <x:c r="B305" t="str">
        <x:v>16744448</x:v>
      </x:c>
      <x:c r="C305" t="str">
        <x:v>M16</x:v>
      </x:c>
      <x:c r="D305" t="str">
        <x:v>Sample 304</x:v>
      </x:c>
      <x:c r="E305" t="str">
        <x:v>1</x:v>
      </x:c>
      <x:c r="F305" t="n">
        <x:v>0.96</x:v>
      </x:c>
      <x:c r="G305" t="n">
        <x:v>0.24</x:v>
      </x:c>
      <x:c r="H305" t="str"/>
    </x:row>
    <x:row r="306">
      <x:c r="A306" t="str">
        <x:v>True</x:v>
      </x:c>
      <x:c r="B306" t="str">
        <x:v>151</x:v>
      </x:c>
      <x:c r="C306" t="str">
        <x:v>M17</x:v>
      </x:c>
      <x:c r="D306" t="str">
        <x:v>Sample 305</x:v>
      </x:c>
      <x:c r="E306" t="str">
        <x:v>Unknown</x:v>
      </x:c>
      <x:c r="F306" t="n">
        <x:v>0.68</x:v>
      </x:c>
      <x:c r="G306" t="n">
        <x:v>0.57</x:v>
      </x:c>
      <x:c r="H306" t="str"/>
    </x:row>
    <x:row r="307">
      <x:c r="A307" t="str">
        <x:v>True</x:v>
      </x:c>
      <x:c r="B307" t="str">
        <x:v>3200768</x:v>
      </x:c>
      <x:c r="C307" t="str">
        <x:v>M18</x:v>
      </x:c>
      <x:c r="D307" t="str">
        <x:v>Sample 306</x:v>
      </x:c>
      <x:c r="E307" t="str">
        <x:v>3</x:v>
      </x:c>
      <x:c r="F307" t="n">
        <x:v>0.76</x:v>
      </x:c>
      <x:c r="G307" t="n">
        <x:v>0.35</x:v>
      </x:c>
      <x:c r="H307" t="str"/>
    </x:row>
    <x:row r="308">
      <x:c r="A308" t="str">
        <x:v>True</x:v>
      </x:c>
      <x:c r="B308" t="str">
        <x:v>151</x:v>
      </x:c>
      <x:c r="C308" t="str">
        <x:v>M19</x:v>
      </x:c>
      <x:c r="D308" t="str">
        <x:v>Sample 307</x:v>
      </x:c>
      <x:c r="E308" t="str">
        <x:v>Unknown</x:v>
      </x:c>
      <x:c r="F308" t="n">
        <x:v>0.67</x:v>
      </x:c>
      <x:c r="G308" t="n">
        <x:v>0.4</x:v>
      </x:c>
      <x:c r="H308" t="str"/>
    </x:row>
    <x:row r="309">
      <x:c r="A309" t="str">
        <x:v>True</x:v>
      </x:c>
      <x:c r="B309" t="str">
        <x:v>3200768</x:v>
      </x:c>
      <x:c r="C309" t="str">
        <x:v>M20</x:v>
      </x:c>
      <x:c r="D309" t="str">
        <x:v>Sample 308</x:v>
      </x:c>
      <x:c r="E309" t="str">
        <x:v>3</x:v>
      </x:c>
      <x:c r="F309" t="n">
        <x:v>0.73</x:v>
      </x:c>
      <x:c r="G309" t="n">
        <x:v>0.37</x:v>
      </x:c>
      <x:c r="H309" t="str"/>
    </x:row>
    <x:row r="310">
      <x:c r="A310" t="str">
        <x:v>True</x:v>
      </x:c>
      <x:c r="B310" t="str">
        <x:v>3200768</x:v>
      </x:c>
      <x:c r="C310" t="str">
        <x:v>M21</x:v>
      </x:c>
      <x:c r="D310" t="str">
        <x:v>Sample 309</x:v>
      </x:c>
      <x:c r="E310" t="str">
        <x:v>3</x:v>
      </x:c>
      <x:c r="F310" t="n">
        <x:v>0.99</x:v>
      </x:c>
      <x:c r="G310" t="n">
        <x:v>0.99</x:v>
      </x:c>
      <x:c r="H310" t="str"/>
    </x:row>
    <x:row r="311">
      <x:c r="A311" t="str">
        <x:v>True</x:v>
      </x:c>
      <x:c r="B311" t="str">
        <x:v>3200768</x:v>
      </x:c>
      <x:c r="C311" t="str">
        <x:v>M22</x:v>
      </x:c>
      <x:c r="D311" t="str">
        <x:v>Sample 310</x:v>
      </x:c>
      <x:c r="E311" t="str">
        <x:v>3</x:v>
      </x:c>
      <x:c r="F311" t="n">
        <x:v>0.99</x:v>
      </x:c>
      <x:c r="G311" t="n">
        <x:v>0.99</x:v>
      </x:c>
      <x:c r="H311" t="str"/>
    </x:row>
    <x:row r="312">
      <x:c r="A312" t="str">
        <x:v>True</x:v>
      </x:c>
      <x:c r="B312" t="str">
        <x:v>3200768</x:v>
      </x:c>
      <x:c r="C312" t="str">
        <x:v>M23</x:v>
      </x:c>
      <x:c r="D312" t="str">
        <x:v>Sample 311</x:v>
      </x:c>
      <x:c r="E312" t="str">
        <x:v>3</x:v>
      </x:c>
      <x:c r="F312" t="n">
        <x:v>0.99</x:v>
      </x:c>
      <x:c r="G312" t="n">
        <x:v>0.98</x:v>
      </x:c>
      <x:c r="H312" t="str"/>
    </x:row>
    <x:row r="313">
      <x:c r="A313" t="str">
        <x:v>True</x:v>
      </x:c>
      <x:c r="B313" t="str">
        <x:v>3200768</x:v>
      </x:c>
      <x:c r="C313" t="str">
        <x:v>M24</x:v>
      </x:c>
      <x:c r="D313" t="str">
        <x:v>Sample 312</x:v>
      </x:c>
      <x:c r="E313" t="str">
        <x:v>3</x:v>
      </x:c>
      <x:c r="F313" t="n">
        <x:v>0.99</x:v>
      </x:c>
      <x:c r="G313" t="n">
        <x:v>0.98</x:v>
      </x:c>
      <x:c r="H313" t="str"/>
    </x:row>
    <x:row r="314">
      <x:c r="A314" t="str">
        <x:v>True</x:v>
      </x:c>
      <x:c r="B314" t="str">
        <x:v>16776975</x:v>
      </x:c>
      <x:c r="C314" t="str">
        <x:v>N1</x:v>
      </x:c>
      <x:c r="D314" t="str">
        <x:v>Sample 313</x:v>
      </x:c>
      <x:c r="E314" t="str">
        <x:v>Negative</x:v>
      </x:c>
      <x:c r="F314" t="n">
        <x:v>1</x:v>
      </x:c>
      <x:c r="G314" t="n">
        <x:v>1</x:v>
      </x:c>
      <x:c r="H314" t="str"/>
    </x:row>
    <x:row r="315">
      <x:c r="A315" t="str">
        <x:v>True</x:v>
      </x:c>
      <x:c r="B315" t="str">
        <x:v>16776975</x:v>
      </x:c>
      <x:c r="C315" t="str">
        <x:v>N2</x:v>
      </x:c>
      <x:c r="D315" t="str">
        <x:v>Sample 314</x:v>
      </x:c>
      <x:c r="E315" t="str">
        <x:v>Negative</x:v>
      </x:c>
      <x:c r="F315" t="n">
        <x:v>1</x:v>
      </x:c>
      <x:c r="G315" t="n">
        <x:v>1</x:v>
      </x:c>
      <x:c r="H315" t="str"/>
    </x:row>
    <x:row r="316">
      <x:c r="A316" t="str">
        <x:v>True</x:v>
      </x:c>
      <x:c r="B316" t="str">
        <x:v>16776975</x:v>
      </x:c>
      <x:c r="C316" t="str">
        <x:v>N3</x:v>
      </x:c>
      <x:c r="D316" t="str">
        <x:v>Sample 315</x:v>
      </x:c>
      <x:c r="E316" t="str">
        <x:v>Negative</x:v>
      </x:c>
      <x:c r="F316" t="n">
        <x:v>1</x:v>
      </x:c>
      <x:c r="G316" t="n">
        <x:v>1</x:v>
      </x:c>
      <x:c r="H316" t="str"/>
    </x:row>
    <x:row r="317">
      <x:c r="A317" t="str">
        <x:v>True</x:v>
      </x:c>
      <x:c r="B317" t="str">
        <x:v>16776975</x:v>
      </x:c>
      <x:c r="C317" t="str">
        <x:v>N4</x:v>
      </x:c>
      <x:c r="D317" t="str">
        <x:v>Sample 316</x:v>
      </x:c>
      <x:c r="E317" t="str">
        <x:v>Negative</x:v>
      </x:c>
      <x:c r="F317" t="n">
        <x:v>1</x:v>
      </x:c>
      <x:c r="G317" t="n">
        <x:v>1</x:v>
      </x:c>
      <x:c r="H317" t="str"/>
    </x:row>
    <x:row r="318">
      <x:c r="A318" t="str">
        <x:v>True</x:v>
      </x:c>
      <x:c r="B318" t="str">
        <x:v>16776975</x:v>
      </x:c>
      <x:c r="C318" t="str">
        <x:v>N5</x:v>
      </x:c>
      <x:c r="D318" t="str">
        <x:v>Sample 317</x:v>
      </x:c>
      <x:c r="E318" t="str">
        <x:v>Negative</x:v>
      </x:c>
      <x:c r="F318" t="n">
        <x:v>1</x:v>
      </x:c>
      <x:c r="G318" t="n">
        <x:v>1</x:v>
      </x:c>
      <x:c r="H318" t="str"/>
    </x:row>
    <x:row r="319">
      <x:c r="A319" t="str">
        <x:v>True</x:v>
      </x:c>
      <x:c r="B319" t="str">
        <x:v>16776975</x:v>
      </x:c>
      <x:c r="C319" t="str">
        <x:v>N6</x:v>
      </x:c>
      <x:c r="D319" t="str">
        <x:v>Sample 318</x:v>
      </x:c>
      <x:c r="E319" t="str">
        <x:v>Negative</x:v>
      </x:c>
      <x:c r="F319" t="n">
        <x:v>1</x:v>
      </x:c>
      <x:c r="G319" t="n">
        <x:v>1</x:v>
      </x:c>
      <x:c r="H319" t="str"/>
    </x:row>
    <x:row r="320">
      <x:c r="A320" t="str">
        <x:v>True</x:v>
      </x:c>
      <x:c r="B320" t="str">
        <x:v>16776975</x:v>
      </x:c>
      <x:c r="C320" t="str">
        <x:v>N7</x:v>
      </x:c>
      <x:c r="D320" t="str">
        <x:v>Sample 319</x:v>
      </x:c>
      <x:c r="E320" t="str">
        <x:v>Negative</x:v>
      </x:c>
      <x:c r="F320" t="n">
        <x:v>1</x:v>
      </x:c>
      <x:c r="G320" t="n">
        <x:v>1</x:v>
      </x:c>
      <x:c r="H320" t="str"/>
    </x:row>
    <x:row r="321">
      <x:c r="A321" t="str">
        <x:v>True</x:v>
      </x:c>
      <x:c r="B321" t="str">
        <x:v>16776975</x:v>
      </x:c>
      <x:c r="C321" t="str">
        <x:v>N8</x:v>
      </x:c>
      <x:c r="D321" t="str">
        <x:v>Sample 320</x:v>
      </x:c>
      <x:c r="E321" t="str">
        <x:v>Negative</x:v>
      </x:c>
      <x:c r="F321" t="n">
        <x:v>1</x:v>
      </x:c>
      <x:c r="G321" t="n">
        <x:v>1</x:v>
      </x:c>
      <x:c r="H321" t="str"/>
    </x:row>
    <x:row r="322">
      <x:c r="A322" t="str">
        <x:v>True</x:v>
      </x:c>
      <x:c r="B322" t="str">
        <x:v>16776975</x:v>
      </x:c>
      <x:c r="C322" t="str">
        <x:v>N9</x:v>
      </x:c>
      <x:c r="D322" t="str">
        <x:v>Sample 321</x:v>
      </x:c>
      <x:c r="E322" t="str">
        <x:v>Negative</x:v>
      </x:c>
      <x:c r="F322" t="n">
        <x:v>1</x:v>
      </x:c>
      <x:c r="G322" t="n">
        <x:v>1</x:v>
      </x:c>
      <x:c r="H322" t="str"/>
    </x:row>
    <x:row r="323">
      <x:c r="A323" t="str">
        <x:v>True</x:v>
      </x:c>
      <x:c r="B323" t="str">
        <x:v>16776975</x:v>
      </x:c>
      <x:c r="C323" t="str">
        <x:v>N10</x:v>
      </x:c>
      <x:c r="D323" t="str">
        <x:v>Sample 322</x:v>
      </x:c>
      <x:c r="E323" t="str">
        <x:v>Negative</x:v>
      </x:c>
      <x:c r="F323" t="n">
        <x:v>1</x:v>
      </x:c>
      <x:c r="G323" t="n">
        <x:v>1</x:v>
      </x:c>
      <x:c r="H323" t="str"/>
    </x:row>
    <x:row r="324">
      <x:c r="A324" t="str">
        <x:v>True</x:v>
      </x:c>
      <x:c r="B324" t="str">
        <x:v>16776975</x:v>
      </x:c>
      <x:c r="C324" t="str">
        <x:v>N11</x:v>
      </x:c>
      <x:c r="D324" t="str">
        <x:v>Sample 323</x:v>
      </x:c>
      <x:c r="E324" t="str">
        <x:v>Negative</x:v>
      </x:c>
      <x:c r="F324" t="n">
        <x:v>1</x:v>
      </x:c>
      <x:c r="G324" t="n">
        <x:v>1</x:v>
      </x:c>
      <x:c r="H324" t="str"/>
    </x:row>
    <x:row r="325">
      <x:c r="A325" t="str">
        <x:v>True</x:v>
      </x:c>
      <x:c r="B325" t="str">
        <x:v>16776975</x:v>
      </x:c>
      <x:c r="C325" t="str">
        <x:v>N12</x:v>
      </x:c>
      <x:c r="D325" t="str">
        <x:v>Sample 324</x:v>
      </x:c>
      <x:c r="E325" t="str">
        <x:v>Negative</x:v>
      </x:c>
      <x:c r="F325" t="n">
        <x:v>1</x:v>
      </x:c>
      <x:c r="G325" t="n">
        <x:v>1</x:v>
      </x:c>
      <x:c r="H325" t="str"/>
    </x:row>
    <x:row r="326">
      <x:c r="A326" t="str">
        <x:v>True</x:v>
      </x:c>
      <x:c r="B326" t="str">
        <x:v>16776975</x:v>
      </x:c>
      <x:c r="C326" t="str">
        <x:v>N13</x:v>
      </x:c>
      <x:c r="D326" t="str">
        <x:v>Sample 325</x:v>
      </x:c>
      <x:c r="E326" t="str">
        <x:v>Negative</x:v>
      </x:c>
      <x:c r="F326" t="n">
        <x:v>1</x:v>
      </x:c>
      <x:c r="G326" t="n">
        <x:v>1</x:v>
      </x:c>
      <x:c r="H326" t="str"/>
    </x:row>
    <x:row r="327">
      <x:c r="A327" t="str">
        <x:v>True</x:v>
      </x:c>
      <x:c r="B327" t="str">
        <x:v>16776975</x:v>
      </x:c>
      <x:c r="C327" t="str">
        <x:v>N14</x:v>
      </x:c>
      <x:c r="D327" t="str">
        <x:v>Sample 326</x:v>
      </x:c>
      <x:c r="E327" t="str">
        <x:v>Negative</x:v>
      </x:c>
      <x:c r="F327" t="n">
        <x:v>1</x:v>
      </x:c>
      <x:c r="G327" t="n">
        <x:v>1</x:v>
      </x:c>
      <x:c r="H327" t="str"/>
    </x:row>
    <x:row r="328">
      <x:c r="A328" t="str">
        <x:v>True</x:v>
      </x:c>
      <x:c r="B328" t="str">
        <x:v>16776975</x:v>
      </x:c>
      <x:c r="C328" t="str">
        <x:v>N15</x:v>
      </x:c>
      <x:c r="D328" t="str">
        <x:v>Sample 327</x:v>
      </x:c>
      <x:c r="E328" t="str">
        <x:v>Negative</x:v>
      </x:c>
      <x:c r="F328" t="n">
        <x:v>1</x:v>
      </x:c>
      <x:c r="G328" t="n">
        <x:v>1</x:v>
      </x:c>
      <x:c r="H328" t="str"/>
    </x:row>
    <x:row r="329">
      <x:c r="A329" t="str">
        <x:v>True</x:v>
      </x:c>
      <x:c r="B329" t="str">
        <x:v>16776975</x:v>
      </x:c>
      <x:c r="C329" t="str">
        <x:v>N16</x:v>
      </x:c>
      <x:c r="D329" t="str">
        <x:v>Sample 328</x:v>
      </x:c>
      <x:c r="E329" t="str">
        <x:v>Negative</x:v>
      </x:c>
      <x:c r="F329" t="n">
        <x:v>1</x:v>
      </x:c>
      <x:c r="G329" t="n">
        <x:v>1</x:v>
      </x:c>
      <x:c r="H329" t="str"/>
    </x:row>
    <x:row r="330">
      <x:c r="A330" t="str">
        <x:v>True</x:v>
      </x:c>
      <x:c r="B330" t="str">
        <x:v>16776975</x:v>
      </x:c>
      <x:c r="C330" t="str">
        <x:v>N17</x:v>
      </x:c>
      <x:c r="D330" t="str">
        <x:v>Sample 329</x:v>
      </x:c>
      <x:c r="E330" t="str">
        <x:v>Negative</x:v>
      </x:c>
      <x:c r="F330" t="n">
        <x:v>1</x:v>
      </x:c>
      <x:c r="G330" t="n">
        <x:v>1</x:v>
      </x:c>
      <x:c r="H330" t="str"/>
    </x:row>
    <x:row r="331">
      <x:c r="A331" t="str">
        <x:v>True</x:v>
      </x:c>
      <x:c r="B331" t="str">
        <x:v>16776975</x:v>
      </x:c>
      <x:c r="C331" t="str">
        <x:v>N18</x:v>
      </x:c>
      <x:c r="D331" t="str">
        <x:v>Sample 330</x:v>
      </x:c>
      <x:c r="E331" t="str">
        <x:v>Negative</x:v>
      </x:c>
      <x:c r="F331" t="n">
        <x:v>1</x:v>
      </x:c>
      <x:c r="G331" t="n">
        <x:v>1</x:v>
      </x:c>
      <x:c r="H331" t="str"/>
    </x:row>
    <x:row r="332">
      <x:c r="A332" t="str">
        <x:v>True</x:v>
      </x:c>
      <x:c r="B332" t="str">
        <x:v>16776975</x:v>
      </x:c>
      <x:c r="C332" t="str">
        <x:v>N19</x:v>
      </x:c>
      <x:c r="D332" t="str">
        <x:v>Sample 331</x:v>
      </x:c>
      <x:c r="E332" t="str">
        <x:v>Negative</x:v>
      </x:c>
      <x:c r="F332" t="n">
        <x:v>1</x:v>
      </x:c>
      <x:c r="G332" t="n">
        <x:v>1</x:v>
      </x:c>
      <x:c r="H332" t="str"/>
    </x:row>
    <x:row r="333">
      <x:c r="A333" t="str">
        <x:v>True</x:v>
      </x:c>
      <x:c r="B333" t="str">
        <x:v>16776975</x:v>
      </x:c>
      <x:c r="C333" t="str">
        <x:v>N20</x:v>
      </x:c>
      <x:c r="D333" t="str">
        <x:v>Sample 332</x:v>
      </x:c>
      <x:c r="E333" t="str">
        <x:v>Negative</x:v>
      </x:c>
      <x:c r="F333" t="n">
        <x:v>1</x:v>
      </x:c>
      <x:c r="G333" t="n">
        <x:v>1</x:v>
      </x:c>
      <x:c r="H333" t="str"/>
    </x:row>
    <x:row r="334">
      <x:c r="A334" t="str">
        <x:v>True</x:v>
      </x:c>
      <x:c r="B334" t="str">
        <x:v>16776975</x:v>
      </x:c>
      <x:c r="C334" t="str">
        <x:v>N21</x:v>
      </x:c>
      <x:c r="D334" t="str">
        <x:v>Sample 333</x:v>
      </x:c>
      <x:c r="E334" t="str">
        <x:v>Negative</x:v>
      </x:c>
      <x:c r="F334" t="n">
        <x:v>1</x:v>
      </x:c>
      <x:c r="G334" t="n">
        <x:v>1</x:v>
      </x:c>
      <x:c r="H334" t="str"/>
    </x:row>
    <x:row r="335">
      <x:c r="A335" t="str">
        <x:v>True</x:v>
      </x:c>
      <x:c r="B335" t="str">
        <x:v>16776975</x:v>
      </x:c>
      <x:c r="C335" t="str">
        <x:v>N22</x:v>
      </x:c>
      <x:c r="D335" t="str">
        <x:v>Sample 334</x:v>
      </x:c>
      <x:c r="E335" t="str">
        <x:v>Negative</x:v>
      </x:c>
      <x:c r="F335" t="n">
        <x:v>1</x:v>
      </x:c>
      <x:c r="G335" t="n">
        <x:v>1</x:v>
      </x:c>
      <x:c r="H335" t="str"/>
    </x:row>
    <x:row r="336">
      <x:c r="A336" t="str">
        <x:v>True</x:v>
      </x:c>
      <x:c r="B336" t="str">
        <x:v>16776975</x:v>
      </x:c>
      <x:c r="C336" t="str">
        <x:v>N23</x:v>
      </x:c>
      <x:c r="D336" t="str">
        <x:v>Sample 335</x:v>
      </x:c>
      <x:c r="E336" t="str">
        <x:v>Negative</x:v>
      </x:c>
      <x:c r="F336" t="n">
        <x:v>1</x:v>
      </x:c>
      <x:c r="G336" t="n">
        <x:v>1</x:v>
      </x:c>
      <x:c r="H336" t="str"/>
    </x:row>
    <x:row r="337">
      <x:c r="A337" t="str">
        <x:v>True</x:v>
      </x:c>
      <x:c r="B337" t="str">
        <x:v>16776975</x:v>
      </x:c>
      <x:c r="C337" t="str">
        <x:v>N24</x:v>
      </x:c>
      <x:c r="D337" t="str">
        <x:v>Sample 336</x:v>
      </x:c>
      <x:c r="E337" t="str">
        <x:v>Negative</x:v>
      </x:c>
      <x:c r="F337" t="n">
        <x:v>1</x:v>
      </x:c>
      <x:c r="G337" t="n">
        <x:v>1</x:v>
      </x:c>
      <x:c r="H337" t="str"/>
    </x:row>
    <x:row r="338">
      <x:c r="A338" t="str">
        <x:v>True</x:v>
      </x:c>
      <x:c r="B338" t="str">
        <x:v>16744448</x:v>
      </x:c>
      <x:c r="C338" t="str">
        <x:v>O1</x:v>
      </x:c>
      <x:c r="D338" t="str">
        <x:v>Sample 337</x:v>
      </x:c>
      <x:c r="E338" t="str">
        <x:v>1</x:v>
      </x:c>
      <x:c r="F338" t="n">
        <x:v>0.89</x:v>
      </x:c>
      <x:c r="G338" t="n">
        <x:v>0.49</x:v>
      </x:c>
      <x:c r="H338" t="str"/>
    </x:row>
    <x:row r="339">
      <x:c r="A339" t="str">
        <x:v>True</x:v>
      </x:c>
      <x:c r="B339" t="str">
        <x:v>16744448</x:v>
      </x:c>
      <x:c r="C339" t="str">
        <x:v>O2</x:v>
      </x:c>
      <x:c r="D339" t="str">
        <x:v>Sample 338</x:v>
      </x:c>
      <x:c r="E339" t="str">
        <x:v>1</x:v>
      </x:c>
      <x:c r="F339" t="n">
        <x:v>0.88</x:v>
      </x:c>
      <x:c r="G339" t="n">
        <x:v>0.49</x:v>
      </x:c>
      <x:c r="H339" t="str"/>
    </x:row>
    <x:row r="340">
      <x:c r="A340" t="str">
        <x:v>True</x:v>
      </x:c>
      <x:c r="B340" t="str">
        <x:v>16744448</x:v>
      </x:c>
      <x:c r="C340" t="str">
        <x:v>O3</x:v>
      </x:c>
      <x:c r="D340" t="str">
        <x:v>Sample 339</x:v>
      </x:c>
      <x:c r="E340" t="str">
        <x:v>1</x:v>
      </x:c>
      <x:c r="F340" t="n">
        <x:v>0.88</x:v>
      </x:c>
      <x:c r="G340" t="n">
        <x:v>0.49</x:v>
      </x:c>
      <x:c r="H340" t="str"/>
    </x:row>
    <x:row r="341">
      <x:c r="A341" t="str">
        <x:v>True</x:v>
      </x:c>
      <x:c r="B341" t="str">
        <x:v>16744448</x:v>
      </x:c>
      <x:c r="C341" t="str">
        <x:v>O4</x:v>
      </x:c>
      <x:c r="D341" t="str">
        <x:v>Sample 340</x:v>
      </x:c>
      <x:c r="E341" t="str">
        <x:v>1</x:v>
      </x:c>
      <x:c r="F341" t="n">
        <x:v>0.89</x:v>
      </x:c>
      <x:c r="G341" t="n">
        <x:v>0.49</x:v>
      </x:c>
      <x:c r="H341" t="str"/>
    </x:row>
    <x:row r="342">
      <x:c r="A342" t="str">
        <x:v>True</x:v>
      </x:c>
      <x:c r="B342" t="str">
        <x:v>16744448</x:v>
      </x:c>
      <x:c r="C342" t="str">
        <x:v>O5</x:v>
      </x:c>
      <x:c r="D342" t="str">
        <x:v>Sample 341</x:v>
      </x:c>
      <x:c r="E342" t="str">
        <x:v>1</x:v>
      </x:c>
      <x:c r="F342" t="n">
        <x:v>0.99</x:v>
      </x:c>
      <x:c r="G342" t="n">
        <x:v>0.21</x:v>
      </x:c>
      <x:c r="H342" t="str"/>
    </x:row>
    <x:row r="343">
      <x:c r="A343" t="str">
        <x:v>True</x:v>
      </x:c>
      <x:c r="B343" t="str">
        <x:v>16744448</x:v>
      </x:c>
      <x:c r="C343" t="str">
        <x:v>O6</x:v>
      </x:c>
      <x:c r="D343" t="str">
        <x:v>Sample 342</x:v>
      </x:c>
      <x:c r="E343" t="str">
        <x:v>1</x:v>
      </x:c>
      <x:c r="F343" t="n">
        <x:v>0.99</x:v>
      </x:c>
      <x:c r="G343" t="n">
        <x:v>0.19</x:v>
      </x:c>
      <x:c r="H343" t="str"/>
    </x:row>
    <x:row r="344">
      <x:c r="A344" t="str">
        <x:v>True</x:v>
      </x:c>
      <x:c r="B344" t="str">
        <x:v>16744448</x:v>
      </x:c>
      <x:c r="C344" t="str">
        <x:v>O7</x:v>
      </x:c>
      <x:c r="D344" t="str">
        <x:v>Sample 343</x:v>
      </x:c>
      <x:c r="E344" t="str">
        <x:v>1</x:v>
      </x:c>
      <x:c r="F344" t="n">
        <x:v>0.99</x:v>
      </x:c>
      <x:c r="G344" t="n">
        <x:v>0.2</x:v>
      </x:c>
      <x:c r="H344" t="str"/>
    </x:row>
    <x:row r="345">
      <x:c r="A345" t="str">
        <x:v>True</x:v>
      </x:c>
      <x:c r="B345" t="str">
        <x:v>16744448</x:v>
      </x:c>
      <x:c r="C345" t="str">
        <x:v>O8</x:v>
      </x:c>
      <x:c r="D345" t="str">
        <x:v>Sample 344</x:v>
      </x:c>
      <x:c r="E345" t="str">
        <x:v>1</x:v>
      </x:c>
      <x:c r="F345" t="n">
        <x:v>0.99</x:v>
      </x:c>
      <x:c r="G345" t="n">
        <x:v>0.24</x:v>
      </x:c>
      <x:c r="H345" t="str"/>
    </x:row>
    <x:row r="346">
      <x:c r="A346" t="str">
        <x:v>True</x:v>
      </x:c>
      <x:c r="B346" t="str">
        <x:v>255</x:v>
      </x:c>
      <x:c r="C346" t="str">
        <x:v>O9</x:v>
      </x:c>
      <x:c r="D346" t="str">
        <x:v>Sample 345</x:v>
      </x:c>
      <x:c r="E346" t="str">
        <x:v>2</x:v>
      </x:c>
      <x:c r="F346" t="n">
        <x:v>0.98</x:v>
      </x:c>
      <x:c r="G346" t="n">
        <x:v>0.45</x:v>
      </x:c>
      <x:c r="H346" t="str"/>
    </x:row>
    <x:row r="347">
      <x:c r="A347" t="str">
        <x:v>True</x:v>
      </x:c>
      <x:c r="B347" t="str">
        <x:v>255</x:v>
      </x:c>
      <x:c r="C347" t="str">
        <x:v>O10</x:v>
      </x:c>
      <x:c r="D347" t="str">
        <x:v>Sample 346</x:v>
      </x:c>
      <x:c r="E347" t="str">
        <x:v>2</x:v>
      </x:c>
      <x:c r="F347" t="n">
        <x:v>0.98</x:v>
      </x:c>
      <x:c r="G347" t="n">
        <x:v>0.42</x:v>
      </x:c>
      <x:c r="H347" t="str"/>
    </x:row>
    <x:row r="348">
      <x:c r="A348" t="str">
        <x:v>True</x:v>
      </x:c>
      <x:c r="B348" t="str">
        <x:v>255</x:v>
      </x:c>
      <x:c r="C348" t="str">
        <x:v>O11</x:v>
      </x:c>
      <x:c r="D348" t="str">
        <x:v>Sample 347</x:v>
      </x:c>
      <x:c r="E348" t="str">
        <x:v>2</x:v>
      </x:c>
      <x:c r="F348" t="n">
        <x:v>0.99</x:v>
      </x:c>
      <x:c r="G348" t="n">
        <x:v>0.41</x:v>
      </x:c>
      <x:c r="H348" t="str"/>
    </x:row>
    <x:row r="349">
      <x:c r="A349" t="str">
        <x:v>True</x:v>
      </x:c>
      <x:c r="B349" t="str">
        <x:v>255</x:v>
      </x:c>
      <x:c r="C349" t="str">
        <x:v>O12</x:v>
      </x:c>
      <x:c r="D349" t="str">
        <x:v>Sample 348</x:v>
      </x:c>
      <x:c r="E349" t="str">
        <x:v>2</x:v>
      </x:c>
      <x:c r="F349" t="n">
        <x:v>0.98</x:v>
      </x:c>
      <x:c r="G349" t="n">
        <x:v>0.42</x:v>
      </x:c>
      <x:c r="H349" t="str"/>
    </x:row>
    <x:row r="350">
      <x:c r="A350" t="str">
        <x:v>True</x:v>
      </x:c>
      <x:c r="B350" t="str">
        <x:v>16744448</x:v>
      </x:c>
      <x:c r="C350" t="str">
        <x:v>O13</x:v>
      </x:c>
      <x:c r="D350" t="str">
        <x:v>Sample 349</x:v>
      </x:c>
      <x:c r="E350" t="str">
        <x:v>1</x:v>
      </x:c>
      <x:c r="F350" t="n">
        <x:v>0.97</x:v>
      </x:c>
      <x:c r="G350" t="n">
        <x:v>0.24</x:v>
      </x:c>
      <x:c r="H350" t="str"/>
    </x:row>
    <x:row r="351">
      <x:c r="A351" t="str">
        <x:v>True</x:v>
      </x:c>
      <x:c r="B351" t="str">
        <x:v>16744448</x:v>
      </x:c>
      <x:c r="C351" t="str">
        <x:v>O14</x:v>
      </x:c>
      <x:c r="D351" t="str">
        <x:v>Sample 350</x:v>
      </x:c>
      <x:c r="E351" t="str">
        <x:v>1</x:v>
      </x:c>
      <x:c r="F351" t="n">
        <x:v>0.94</x:v>
      </x:c>
      <x:c r="G351" t="n">
        <x:v>0.18</x:v>
      </x:c>
      <x:c r="H351" t="str"/>
    </x:row>
    <x:row r="352">
      <x:c r="A352" t="str">
        <x:v>True</x:v>
      </x:c>
      <x:c r="B352" t="str">
        <x:v>16744448</x:v>
      </x:c>
      <x:c r="C352" t="str">
        <x:v>O15</x:v>
      </x:c>
      <x:c r="D352" t="str">
        <x:v>Sample 351</x:v>
      </x:c>
      <x:c r="E352" t="str">
        <x:v>1</x:v>
      </x:c>
      <x:c r="F352" t="n">
        <x:v>0.96</x:v>
      </x:c>
      <x:c r="G352" t="n">
        <x:v>0.23</x:v>
      </x:c>
      <x:c r="H352" t="str"/>
    </x:row>
    <x:row r="353">
      <x:c r="A353" t="str">
        <x:v>True</x:v>
      </x:c>
      <x:c r="B353" t="str">
        <x:v>16744448</x:v>
      </x:c>
      <x:c r="C353" t="str">
        <x:v>O16</x:v>
      </x:c>
      <x:c r="D353" t="str">
        <x:v>Sample 352</x:v>
      </x:c>
      <x:c r="E353" t="str">
        <x:v>1</x:v>
      </x:c>
      <x:c r="F353" t="n">
        <x:v>0.93</x:v>
      </x:c>
      <x:c r="G353" t="n">
        <x:v>0.15</x:v>
      </x:c>
      <x:c r="H353" t="str"/>
    </x:row>
    <x:row r="354">
      <x:c r="A354" t="str">
        <x:v>True</x:v>
      </x:c>
      <x:c r="B354" t="str">
        <x:v>3200768</x:v>
      </x:c>
      <x:c r="C354" t="str">
        <x:v>O17</x:v>
      </x:c>
      <x:c r="D354" t="str">
        <x:v>Sample 353</x:v>
      </x:c>
      <x:c r="E354" t="str">
        <x:v>3</x:v>
      </x:c>
      <x:c r="F354" t="n">
        <x:v>0.81</x:v>
      </x:c>
      <x:c r="G354" t="n">
        <x:v>0.33</x:v>
      </x:c>
      <x:c r="H354" t="str"/>
    </x:row>
    <x:row r="355">
      <x:c r="A355" t="str">
        <x:v>True</x:v>
      </x:c>
      <x:c r="B355" t="str">
        <x:v>3200768</x:v>
      </x:c>
      <x:c r="C355" t="str">
        <x:v>O18</x:v>
      </x:c>
      <x:c r="D355" t="str">
        <x:v>Sample 354</x:v>
      </x:c>
      <x:c r="E355" t="str">
        <x:v>3</x:v>
      </x:c>
      <x:c r="F355" t="n">
        <x:v>0.85</x:v>
      </x:c>
      <x:c r="G355" t="n">
        <x:v>0.31</x:v>
      </x:c>
      <x:c r="H355" t="str"/>
    </x:row>
    <x:row r="356">
      <x:c r="A356" t="str">
        <x:v>True</x:v>
      </x:c>
      <x:c r="B356" t="str">
        <x:v>3200768</x:v>
      </x:c>
      <x:c r="C356" t="str">
        <x:v>O19</x:v>
      </x:c>
      <x:c r="D356" t="str">
        <x:v>Sample 355</x:v>
      </x:c>
      <x:c r="E356" t="str">
        <x:v>3</x:v>
      </x:c>
      <x:c r="F356" t="n">
        <x:v>0.75</x:v>
      </x:c>
      <x:c r="G356" t="n">
        <x:v>0.11</x:v>
      </x:c>
      <x:c r="H356" t="str"/>
    </x:row>
    <x:row r="357">
      <x:c r="A357" t="str">
        <x:v>True</x:v>
      </x:c>
      <x:c r="B357" t="str">
        <x:v>3200768</x:v>
      </x:c>
      <x:c r="C357" t="str">
        <x:v>O20</x:v>
      </x:c>
      <x:c r="D357" t="str">
        <x:v>Sample 356</x:v>
      </x:c>
      <x:c r="E357" t="str">
        <x:v>3</x:v>
      </x:c>
      <x:c r="F357" t="n">
        <x:v>0.76</x:v>
      </x:c>
      <x:c r="G357" t="n">
        <x:v>0.33</x:v>
      </x:c>
      <x:c r="H357" t="str"/>
    </x:row>
    <x:row r="358">
      <x:c r="A358" t="str">
        <x:v>True</x:v>
      </x:c>
      <x:c r="B358" t="str">
        <x:v>3200768</x:v>
      </x:c>
      <x:c r="C358" t="str">
        <x:v>O21</x:v>
      </x:c>
      <x:c r="D358" t="str">
        <x:v>Sample 357</x:v>
      </x:c>
      <x:c r="E358" t="str">
        <x:v>3</x:v>
      </x:c>
      <x:c r="F358" t="n">
        <x:v>0.99</x:v>
      </x:c>
      <x:c r="G358" t="n">
        <x:v>0.99</x:v>
      </x:c>
      <x:c r="H358" t="str"/>
    </x:row>
    <x:row r="359">
      <x:c r="A359" t="str">
        <x:v>True</x:v>
      </x:c>
      <x:c r="B359" t="str">
        <x:v>3200768</x:v>
      </x:c>
      <x:c r="C359" t="str">
        <x:v>O22</x:v>
      </x:c>
      <x:c r="D359" t="str">
        <x:v>Sample 358</x:v>
      </x:c>
      <x:c r="E359" t="str">
        <x:v>3</x:v>
      </x:c>
      <x:c r="F359" t="n">
        <x:v>0.99</x:v>
      </x:c>
      <x:c r="G359" t="n">
        <x:v>0.99</x:v>
      </x:c>
      <x:c r="H359" t="str"/>
    </x:row>
    <x:row r="360">
      <x:c r="A360" t="str">
        <x:v>True</x:v>
      </x:c>
      <x:c r="B360" t="str">
        <x:v>3200768</x:v>
      </x:c>
      <x:c r="C360" t="str">
        <x:v>O23</x:v>
      </x:c>
      <x:c r="D360" t="str">
        <x:v>Sample 359</x:v>
      </x:c>
      <x:c r="E360" t="str">
        <x:v>3</x:v>
      </x:c>
      <x:c r="F360" t="n">
        <x:v>0.99</x:v>
      </x:c>
      <x:c r="G360" t="n">
        <x:v>0.99</x:v>
      </x:c>
      <x:c r="H360" t="str"/>
    </x:row>
    <x:row r="361">
      <x:c r="A361" t="str">
        <x:v>True</x:v>
      </x:c>
      <x:c r="B361" t="str">
        <x:v>3200768</x:v>
      </x:c>
      <x:c r="C361" t="str">
        <x:v>O24</x:v>
      </x:c>
      <x:c r="D361" t="str">
        <x:v>Sample 360</x:v>
      </x:c>
      <x:c r="E361" t="str">
        <x:v>3</x:v>
      </x:c>
      <x:c r="F361" t="n">
        <x:v>0.99</x:v>
      </x:c>
      <x:c r="G361" t="n">
        <x:v>0.98</x:v>
      </x:c>
      <x:c r="H361" t="str"/>
    </x:row>
    <x:row r="362">
      <x:c r="A362" t="str">
        <x:v>True</x:v>
      </x:c>
      <x:c r="B362" t="str">
        <x:v>16776975</x:v>
      </x:c>
      <x:c r="C362" t="str">
        <x:v>P1</x:v>
      </x:c>
      <x:c r="D362" t="str">
        <x:v>Sample 361</x:v>
      </x:c>
      <x:c r="E362" t="str">
        <x:v>Negative</x:v>
      </x:c>
      <x:c r="F362" t="n">
        <x:v>1</x:v>
      </x:c>
      <x:c r="G362" t="n">
        <x:v>1</x:v>
      </x:c>
      <x:c r="H362" t="str"/>
    </x:row>
    <x:row r="363">
      <x:c r="A363" t="str">
        <x:v>True</x:v>
      </x:c>
      <x:c r="B363" t="str">
        <x:v>16776975</x:v>
      </x:c>
      <x:c r="C363" t="str">
        <x:v>P2</x:v>
      </x:c>
      <x:c r="D363" t="str">
        <x:v>Sample 362</x:v>
      </x:c>
      <x:c r="E363" t="str">
        <x:v>Negative</x:v>
      </x:c>
      <x:c r="F363" t="n">
        <x:v>1</x:v>
      </x:c>
      <x:c r="G363" t="n">
        <x:v>1</x:v>
      </x:c>
      <x:c r="H363" t="str"/>
    </x:row>
    <x:row r="364">
      <x:c r="A364" t="str">
        <x:v>True</x:v>
      </x:c>
      <x:c r="B364" t="str">
        <x:v>16776975</x:v>
      </x:c>
      <x:c r="C364" t="str">
        <x:v>P3</x:v>
      </x:c>
      <x:c r="D364" t="str">
        <x:v>Sample 363</x:v>
      </x:c>
      <x:c r="E364" t="str">
        <x:v>Negative</x:v>
      </x:c>
      <x:c r="F364" t="n">
        <x:v>1</x:v>
      </x:c>
      <x:c r="G364" t="n">
        <x:v>1</x:v>
      </x:c>
      <x:c r="H364" t="str"/>
    </x:row>
    <x:row r="365">
      <x:c r="A365" t="str">
        <x:v>True</x:v>
      </x:c>
      <x:c r="B365" t="str">
        <x:v>16776975</x:v>
      </x:c>
      <x:c r="C365" t="str">
        <x:v>P4</x:v>
      </x:c>
      <x:c r="D365" t="str">
        <x:v>Sample 364</x:v>
      </x:c>
      <x:c r="E365" t="str">
        <x:v>Negative</x:v>
      </x:c>
      <x:c r="F365" t="n">
        <x:v>1</x:v>
      </x:c>
      <x:c r="G365" t="n">
        <x:v>1</x:v>
      </x:c>
      <x:c r="H365" t="str"/>
    </x:row>
    <x:row r="366">
      <x:c r="A366" t="str">
        <x:v>True</x:v>
      </x:c>
      <x:c r="B366" t="str">
        <x:v>16776975</x:v>
      </x:c>
      <x:c r="C366" t="str">
        <x:v>P5</x:v>
      </x:c>
      <x:c r="D366" t="str">
        <x:v>Sample 365</x:v>
      </x:c>
      <x:c r="E366" t="str">
        <x:v>Negative</x:v>
      </x:c>
      <x:c r="F366" t="n">
        <x:v>1</x:v>
      </x:c>
      <x:c r="G366" t="n">
        <x:v>1</x:v>
      </x:c>
      <x:c r="H366" t="str"/>
    </x:row>
    <x:row r="367">
      <x:c r="A367" t="str">
        <x:v>True</x:v>
      </x:c>
      <x:c r="B367" t="str">
        <x:v>16776975</x:v>
      </x:c>
      <x:c r="C367" t="str">
        <x:v>P6</x:v>
      </x:c>
      <x:c r="D367" t="str">
        <x:v>Sample 366</x:v>
      </x:c>
      <x:c r="E367" t="str">
        <x:v>Negative</x:v>
      </x:c>
      <x:c r="F367" t="n">
        <x:v>1</x:v>
      </x:c>
      <x:c r="G367" t="n">
        <x:v>1</x:v>
      </x:c>
      <x:c r="H367" t="str"/>
    </x:row>
    <x:row r="368">
      <x:c r="A368" t="str">
        <x:v>True</x:v>
      </x:c>
      <x:c r="B368" t="str">
        <x:v>16776975</x:v>
      </x:c>
      <x:c r="C368" t="str">
        <x:v>P7</x:v>
      </x:c>
      <x:c r="D368" t="str">
        <x:v>Sample 367</x:v>
      </x:c>
      <x:c r="E368" t="str">
        <x:v>Negative</x:v>
      </x:c>
      <x:c r="F368" t="n">
        <x:v>1</x:v>
      </x:c>
      <x:c r="G368" t="n">
        <x:v>1</x:v>
      </x:c>
      <x:c r="H368" t="str"/>
    </x:row>
    <x:row r="369">
      <x:c r="A369" t="str">
        <x:v>True</x:v>
      </x:c>
      <x:c r="B369" t="str">
        <x:v>16776975</x:v>
      </x:c>
      <x:c r="C369" t="str">
        <x:v>P8</x:v>
      </x:c>
      <x:c r="D369" t="str">
        <x:v>Sample 368</x:v>
      </x:c>
      <x:c r="E369" t="str">
        <x:v>Negative</x:v>
      </x:c>
      <x:c r="F369" t="n">
        <x:v>1</x:v>
      </x:c>
      <x:c r="G369" t="n">
        <x:v>1</x:v>
      </x:c>
      <x:c r="H369" t="str"/>
    </x:row>
    <x:row r="370">
      <x:c r="A370" t="str">
        <x:v>True</x:v>
      </x:c>
      <x:c r="B370" t="str">
        <x:v>16776975</x:v>
      </x:c>
      <x:c r="C370" t="str">
        <x:v>P9</x:v>
      </x:c>
      <x:c r="D370" t="str">
        <x:v>Sample 369</x:v>
      </x:c>
      <x:c r="E370" t="str">
        <x:v>Negative</x:v>
      </x:c>
      <x:c r="F370" t="n">
        <x:v>1</x:v>
      </x:c>
      <x:c r="G370" t="n">
        <x:v>1</x:v>
      </x:c>
      <x:c r="H370" t="str"/>
    </x:row>
    <x:row r="371">
      <x:c r="A371" t="str">
        <x:v>True</x:v>
      </x:c>
      <x:c r="B371" t="str">
        <x:v>16776975</x:v>
      </x:c>
      <x:c r="C371" t="str">
        <x:v>P10</x:v>
      </x:c>
      <x:c r="D371" t="str">
        <x:v>Sample 370</x:v>
      </x:c>
      <x:c r="E371" t="str">
        <x:v>Negative</x:v>
      </x:c>
      <x:c r="F371" t="n">
        <x:v>1</x:v>
      </x:c>
      <x:c r="G371" t="n">
        <x:v>1</x:v>
      </x:c>
      <x:c r="H371" t="str"/>
    </x:row>
    <x:row r="372">
      <x:c r="A372" t="str">
        <x:v>True</x:v>
      </x:c>
      <x:c r="B372" t="str">
        <x:v>16776975</x:v>
      </x:c>
      <x:c r="C372" t="str">
        <x:v>P11</x:v>
      </x:c>
      <x:c r="D372" t="str">
        <x:v>Sample 371</x:v>
      </x:c>
      <x:c r="E372" t="str">
        <x:v>Negative</x:v>
      </x:c>
      <x:c r="F372" t="n">
        <x:v>1</x:v>
      </x:c>
      <x:c r="G372" t="n">
        <x:v>1</x:v>
      </x:c>
      <x:c r="H372" t="str"/>
    </x:row>
    <x:row r="373">
      <x:c r="A373" t="str">
        <x:v>True</x:v>
      </x:c>
      <x:c r="B373" t="str">
        <x:v>16776975</x:v>
      </x:c>
      <x:c r="C373" t="str">
        <x:v>P12</x:v>
      </x:c>
      <x:c r="D373" t="str">
        <x:v>Sample 372</x:v>
      </x:c>
      <x:c r="E373" t="str">
        <x:v>Negative</x:v>
      </x:c>
      <x:c r="F373" t="n">
        <x:v>1</x:v>
      </x:c>
      <x:c r="G373" t="n">
        <x:v>1</x:v>
      </x:c>
      <x:c r="H373" t="str"/>
    </x:row>
    <x:row r="374">
      <x:c r="A374" t="str">
        <x:v>True</x:v>
      </x:c>
      <x:c r="B374" t="str">
        <x:v>16776975</x:v>
      </x:c>
      <x:c r="C374" t="str">
        <x:v>P13</x:v>
      </x:c>
      <x:c r="D374" t="str">
        <x:v>Sample 373</x:v>
      </x:c>
      <x:c r="E374" t="str">
        <x:v>Negative</x:v>
      </x:c>
      <x:c r="F374" t="n">
        <x:v>1</x:v>
      </x:c>
      <x:c r="G374" t="n">
        <x:v>1</x:v>
      </x:c>
      <x:c r="H374" t="str"/>
    </x:row>
    <x:row r="375">
      <x:c r="A375" t="str">
        <x:v>True</x:v>
      </x:c>
      <x:c r="B375" t="str">
        <x:v>16776975</x:v>
      </x:c>
      <x:c r="C375" t="str">
        <x:v>P14</x:v>
      </x:c>
      <x:c r="D375" t="str">
        <x:v>Sample 374</x:v>
      </x:c>
      <x:c r="E375" t="str">
        <x:v>Negative</x:v>
      </x:c>
      <x:c r="F375" t="n">
        <x:v>1</x:v>
      </x:c>
      <x:c r="G375" t="n">
        <x:v>1</x:v>
      </x:c>
      <x:c r="H375" t="str"/>
    </x:row>
    <x:row r="376">
      <x:c r="A376" t="str">
        <x:v>True</x:v>
      </x:c>
      <x:c r="B376" t="str">
        <x:v>16776975</x:v>
      </x:c>
      <x:c r="C376" t="str">
        <x:v>P15</x:v>
      </x:c>
      <x:c r="D376" t="str">
        <x:v>Sample 375</x:v>
      </x:c>
      <x:c r="E376" t="str">
        <x:v>Negative</x:v>
      </x:c>
      <x:c r="F376" t="n">
        <x:v>1</x:v>
      </x:c>
      <x:c r="G376" t="n">
        <x:v>1</x:v>
      </x:c>
      <x:c r="H376" t="str"/>
    </x:row>
    <x:row r="377">
      <x:c r="A377" t="str">
        <x:v>True</x:v>
      </x:c>
      <x:c r="B377" t="str">
        <x:v>16776975</x:v>
      </x:c>
      <x:c r="C377" t="str">
        <x:v>P16</x:v>
      </x:c>
      <x:c r="D377" t="str">
        <x:v>Sample 376</x:v>
      </x:c>
      <x:c r="E377" t="str">
        <x:v>Negative</x:v>
      </x:c>
      <x:c r="F377" t="n">
        <x:v>1</x:v>
      </x:c>
      <x:c r="G377" t="n">
        <x:v>1</x:v>
      </x:c>
      <x:c r="H377" t="str"/>
    </x:row>
    <x:row r="378">
      <x:c r="A378" t="str">
        <x:v>True</x:v>
      </x:c>
      <x:c r="B378" t="str">
        <x:v>16776975</x:v>
      </x:c>
      <x:c r="C378" t="str">
        <x:v>P17</x:v>
      </x:c>
      <x:c r="D378" t="str">
        <x:v>Sample 377</x:v>
      </x:c>
      <x:c r="E378" t="str">
        <x:v>Negative</x:v>
      </x:c>
      <x:c r="F378" t="n">
        <x:v>1</x:v>
      </x:c>
      <x:c r="G378" t="n">
        <x:v>1</x:v>
      </x:c>
      <x:c r="H378" t="str"/>
    </x:row>
    <x:row r="379">
      <x:c r="A379" t="str">
        <x:v>True</x:v>
      </x:c>
      <x:c r="B379" t="str">
        <x:v>16776975</x:v>
      </x:c>
      <x:c r="C379" t="str">
        <x:v>P18</x:v>
      </x:c>
      <x:c r="D379" t="str">
        <x:v>Sample 378</x:v>
      </x:c>
      <x:c r="E379" t="str">
        <x:v>Negative</x:v>
      </x:c>
      <x:c r="F379" t="n">
        <x:v>1</x:v>
      </x:c>
      <x:c r="G379" t="n">
        <x:v>1</x:v>
      </x:c>
      <x:c r="H379" t="str"/>
    </x:row>
    <x:row r="380">
      <x:c r="A380" t="str">
        <x:v>True</x:v>
      </x:c>
      <x:c r="B380" t="str">
        <x:v>16776975</x:v>
      </x:c>
      <x:c r="C380" t="str">
        <x:v>P19</x:v>
      </x:c>
      <x:c r="D380" t="str">
        <x:v>Sample 379</x:v>
      </x:c>
      <x:c r="E380" t="str">
        <x:v>Negative</x:v>
      </x:c>
      <x:c r="F380" t="n">
        <x:v>1</x:v>
      </x:c>
      <x:c r="G380" t="n">
        <x:v>1</x:v>
      </x:c>
      <x:c r="H380" t="str"/>
    </x:row>
    <x:row r="381">
      <x:c r="A381" t="str">
        <x:v>True</x:v>
      </x:c>
      <x:c r="B381" t="str">
        <x:v>16776975</x:v>
      </x:c>
      <x:c r="C381" t="str">
        <x:v>P20</x:v>
      </x:c>
      <x:c r="D381" t="str">
        <x:v>Sample 380</x:v>
      </x:c>
      <x:c r="E381" t="str">
        <x:v>Negative</x:v>
      </x:c>
      <x:c r="F381" t="n">
        <x:v>1</x:v>
      </x:c>
      <x:c r="G381" t="n">
        <x:v>1</x:v>
      </x:c>
      <x:c r="H381" t="str"/>
    </x:row>
    <x:row r="382">
      <x:c r="A382" t="str">
        <x:v>True</x:v>
      </x:c>
      <x:c r="B382" t="str">
        <x:v>16776975</x:v>
      </x:c>
      <x:c r="C382" t="str">
        <x:v>P21</x:v>
      </x:c>
      <x:c r="D382" t="str">
        <x:v>Sample 381</x:v>
      </x:c>
      <x:c r="E382" t="str">
        <x:v>Negative</x:v>
      </x:c>
      <x:c r="F382" t="n">
        <x:v>1</x:v>
      </x:c>
      <x:c r="G382" t="n">
        <x:v>1</x:v>
      </x:c>
      <x:c r="H382" t="str"/>
    </x:row>
    <x:row r="383">
      <x:c r="A383" t="str">
        <x:v>True</x:v>
      </x:c>
      <x:c r="B383" t="str">
        <x:v>16776975</x:v>
      </x:c>
      <x:c r="C383" t="str">
        <x:v>P22</x:v>
      </x:c>
      <x:c r="D383" t="str">
        <x:v>Sample 382</x:v>
      </x:c>
      <x:c r="E383" t="str">
        <x:v>Negative</x:v>
      </x:c>
      <x:c r="F383" t="n">
        <x:v>1</x:v>
      </x:c>
      <x:c r="G383" t="n">
        <x:v>1</x:v>
      </x:c>
      <x:c r="H383" t="str"/>
    </x:row>
    <x:row r="384">
      <x:c r="A384" t="str">
        <x:v>True</x:v>
      </x:c>
      <x:c r="B384" t="str">
        <x:v>16776975</x:v>
      </x:c>
      <x:c r="C384" t="str">
        <x:v>P23</x:v>
      </x:c>
      <x:c r="D384" t="str">
        <x:v>Sample 383</x:v>
      </x:c>
      <x:c r="E384" t="str">
        <x:v>Negative</x:v>
      </x:c>
      <x:c r="F384" t="n">
        <x:v>1</x:v>
      </x:c>
      <x:c r="G384" t="n">
        <x:v>1</x:v>
      </x:c>
      <x:c r="H384" t="str"/>
    </x:row>
    <x:row r="385">
      <x:c r="A385" t="str">
        <x:v>True</x:v>
      </x:c>
      <x:c r="B385" t="str">
        <x:v>16776975</x:v>
      </x:c>
      <x:c r="C385" t="str">
        <x:v>P24</x:v>
      </x:c>
      <x:c r="D385" t="str">
        <x:v>Sample 384</x:v>
      </x:c>
      <x:c r="E385" t="str">
        <x:v>Negative</x:v>
      </x:c>
      <x:c r="F385" t="n">
        <x:v>1</x:v>
      </x:c>
      <x:c r="G385" t="n">
        <x:v>1</x:v>
      </x:c>
      <x:c r="H385" t="str"/>
    </x:row>
  </x:sheetData>
  <x:pageMargins left="0.7" right="0.7" top="0.75" bottom="0.75" header="0.3" footer="0.3"/>
  <x:tableParts count="1">
    <x:tablePart xmlns:r="http://schemas.openxmlformats.org/officeDocument/2006/relationships" r:id="R5a9f3513af354e18"/>
  </x:tableParts>
</x:worksheet>
</file>